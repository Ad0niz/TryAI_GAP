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ed0836bae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52864605d4f04e14"/>
    <x:sheet xmlns:r="http://schemas.openxmlformats.org/officeDocument/2006/relationships" name="Desglose técnico" sheetId="2" r:id="Ra483a21892b043a2"/>
  </x:sheets>
</x:workbook>
</file>

<file path=xl/sharedStrings.xml><?xml version="1.0" encoding="utf-8"?>
<x:sst xmlns:x="http://schemas.openxmlformats.org/spreadsheetml/2006/main">
  <x:si>
    <x:t xml:space="preserve">Carta Gantt — TryAI Gap (Equipo App) — 12 semanas</x:t>
  </x:si>
  <x:si>
    <x:t xml:space="preserve">21-Sep</x:t>
  </x:si>
  <x:si>
    <x:t xml:space="preserve">28-Sep</x:t>
  </x:si>
  <x:si>
    <x:t xml:space="preserve">05-Oct</x:t>
  </x:si>
  <x:si>
    <x:t xml:space="preserve">12-Oct</x:t>
  </x:si>
  <x:si>
    <x:t xml:space="preserve">19-Oct</x:t>
  </x:si>
  <x:si>
    <x:t xml:space="preserve">26-Oct</x:t>
  </x:si>
  <x:si>
    <x:t xml:space="preserve">02-Nov</x:t>
  </x:si>
  <x:si>
    <x:t xml:space="preserve">09-Nov</x:t>
  </x:si>
  <x:si>
    <x:t xml:space="preserve">16-Nov</x:t>
  </x:si>
  <x:si>
    <x:t xml:space="preserve">23-Nov</x:t>
  </x:si>
  <x:si>
    <x:t xml:space="preserve">30-Nov</x:t>
  </x:si>
  <x:si>
    <x:t xml:space="preserve">Actividad</x:t>
  </x:si>
  <x:si>
    <x:t xml:space="preserve">Hito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</x:si>
  <x:si>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</x:si>
  <x:si>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</x:si>
  <x:si>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</x:si>
  <x:si>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</x:si>
  <x:si>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</x:si>
  <x:si>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</x:si>
  <x:si>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</x:si>
  <x:si>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</x:si>
  <x:si>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</x:si>
  <x:si>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</x:si>
  <x:si>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</x:si>
  <x:si>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Desplegar web en Vercel + validar persistencia en BD real</x:t>
  </x:si>
  <x:si>
    <x:t xml:space="preserve">Hito 1</x:t>
  </x:si>
  <x:si>
    <x:t xml:space="preserve">X</x:t>
  </x:si>
  <x:si>
    <x:t xml:space="preserve">Rebranding Klertech (logos, colores, textos 4 idiomas)</x:t>
  </x:si>
  <x:si>
    <x:t xml:space="preserve">Login con contraseña, recuperación y 2FA</x:t>
  </x:si>
  <x:si>
    <x:t xml:space="preserve">Resultados reales (radar, heatmap, matriz)</x:t>
  </x:si>
  <x:si>
    <x:t xml:space="preserve">Vista de resultado parcial (plan gratuito)</x:t>
  </x:si>
  <x:si>
    <x:t xml:space="preserve">Aceptación de invitación (endpoint + página)</x:t>
  </x:si>
  <x:si>
    <x:t xml:space="preserve">Listado de revisiones de un diagnóstico</x:t>
  </x:si>
  <x:si>
    <x:t xml:space="preserve">Dockerizar el proyecto</x:t>
  </x:si>
  <x:si>
    <x:t xml:space="preserve">Hito 2</x:t>
  </x:si>
  <x:si>
    <x:t xml:space="preserve">Panel de consultor (revisión, puntajes, evidencias)</x:t>
  </x:si>
  <x:si>
    <x:t xml:space="preserve">PDF con marca real de la organización</x:t>
  </x:si>
  <x:si>
    <x:t xml:space="preserve">Testing (funcional, integración, seguridad, usabilidad)</x:t>
  </x:si>
  <x:si>
    <x:t xml:space="preserve">Corrección de defectos y pulido final</x:t>
  </x:si>
  <x:si>
    <x:t xml:space="preserve">Documentación técnica/usuario + informe final</x:t>
  </x:si>
  <x:si>
    <x:t xml:space="preserve">Entrega y presentación final</x:t>
  </x:si>
  <x:si>
    <x:t xml:space="preserve">Hito 3 Duoc</x:t>
  </x:si>
  <x:si>
    <x:t xml:space="preserve">Ajustes finales / reentrega si corresponde</x:t>
  </x:si>
  <x:si>
    <x:t xml:space="preserve">Hito 3 Utem</x:t>
  </x:si>
  <x:si>
    <x:t xml:space="preserve">App Flutter (móvil) — si alcanza el tiempo</x:t>
  </x:si>
  <x:si>
    <x:t xml:space="preserve">Leyenda:</x:t>
  </x:si>
  <x:si>
    <x:t xml:space="preserve">Actividad regular</x:t>
  </x:si>
  <x:si>
    <x:t xml:space="preserve">Semana de Hito</x:t>
  </x:si>
</x:sst>
</file>

<file path=xl/styles.xml><?xml version="1.0" encoding="utf-8"?>
<x:styleSheet xmlns:x="http://schemas.openxmlformats.org/spreadsheetml/2006/main">
  <x:numFmts count="1">
    <x:numFmt numFmtId="200" formatCode="0&quot;%&quot;"/>
  </x:numFmts>
  <x:fonts count="11">
    <x:font>
      <x:sz val="11"/>
      <x:color theme="1"/>
      <x:name val="Calibri"/>
    </x:font>
    <x:font>
      <x:b/>
      <x:sz val="14"/>
      <x:name val="Arial"/>
    </x:font>
    <x:font>
      <x:i/>
      <x:sz val="8"/>
      <x:name val="Arial"/>
    </x:font>
    <x:font>
      <x:b/>
      <x:sz val="10"/>
      <x:color rgb="FF000000"/>
      <x:name val="Arial"/>
    </x:font>
    <x:font>
      <x:sz val="10"/>
      <x:name val="Arial"/>
    </x:font>
    <x:font>
      <x:b/>
      <x:sz val="10"/>
      <x:name val="Arial"/>
    </x:font>
    <x:font>
      <x:b/>
      <x:sz val="16"/>
      <x:color rgb="FFFFFFFF"/>
      <x:name val="Calibri"/>
    </x:font>
    <x:font>
      <x:sz val="10"/>
      <x:color rgb="FF17394E"/>
      <x:name val="Calibri"/>
    </x:font>
    <x:font>
      <x:b/>
      <x:sz val="11"/>
      <x:color rgb="FF19394A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808080"/>
      </x:patternFill>
    </x:fill>
    <x:fill>
      <x:patternFill patternType="solid">
        <x:fgColor rgb="FFBFBFBF"/>
      </x:patternFill>
    </x:fill>
    <x:fill>
      <x:patternFill patternType="solid">
        <x:fgColor rgb="FF122D40"/>
      </x:patternFill>
    </x:fill>
    <x:fill>
      <x:patternFill patternType="solid">
        <x:fgColor rgb="FFE5F1F2"/>
      </x:patternFill>
    </x:fill>
    <x:fill>
      <x:patternFill patternType="solid">
        <x:fgColor rgb="FFEAF0F6"/>
      </x:patternFill>
    </x:fill>
    <x:fill>
      <x:patternFill patternType="solid">
        <x:fgColor rgb="FF15384B"/>
      </x:patternFill>
    </x:fill>
    <x:fill>
      <x:patternFill patternType="solid">
        <x:fgColor rgb="FFD8E9F7"/>
      </x:patternFill>
    </x:fill>
    <x:fill>
      <x:patternFill patternType="solid">
        <x:fgColor rgb="FFD9F3E6"/>
      </x:patternFill>
    </x:fill>
    <x:fill>
      <x:patternFill patternType="solid">
        <x:fgColor rgb="FFFFF0C2"/>
      </x:patternFill>
    </x:fill>
    <x:fill>
      <x:patternFill patternType="solid">
        <x:fgColor rgb="FFF6D9EF"/>
      </x:patternFill>
    </x:fill>
    <x:fill>
      <x:patternFill patternType="solid">
        <x:fgColor rgb="FFFDE3BE"/>
      </x:patternFill>
    </x:fill>
    <x:fill>
      <x:patternFill patternType="solid">
        <x:fgColor rgb="FFD7EFDC"/>
      </x:patternFill>
    </x:fill>
    <x:fill>
      <x:patternFill patternType="solid">
        <x:fgColor rgb="FFDCF0E6"/>
      </x:patternFill>
    </x:fill>
    <x:fill>
      <x:patternFill patternType="solid">
        <x:fgColor rgb="FFE3E5FA"/>
      </x:patternFill>
    </x:fill>
    <x:fill>
      <x:patternFill patternType="solid">
        <x:fgColor rgb="FFDCDFF5"/>
      </x:patternFill>
    </x:fill>
    <x:fill>
      <x:patternFill patternType="solid">
        <x:fgColor rgb="FFEEE0F6"/>
      </x:patternFill>
    </x:fill>
    <x:fill>
      <x:patternFill patternType="solid">
        <x:fgColor rgb="FFFCE1DC"/>
      </x:patternFill>
    </x:fill>
    <x:fill>
      <x:patternFill patternType="solid">
        <x:fgColor rgb="FFF5ECD7"/>
      </x:patternFill>
    </x:fill>
    <x:fill>
      <x:patternFill patternType="solid">
        <x:fgColor rgb="FFE9DFF1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Font="1"/>
    <x:xf numFmtId="0" fontId="2" fillId="0" borderId="0" xfId="0" applyFont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5" fillId="0" borderId="0" xfId="0" applyFont="1"/>
    <x:xf numFmtId="0" fontId="5" fillId="4" borderId="0" xfId="0" applyFont="1" applyFill="1" applyAlignment="1">
      <x:alignment horizontal="center" vertical="center"/>
    </x:xf>
    <x:xf numFmtId="0" fontId="4" fillId="0" borderId="0" xfId="0" applyFont="1"/>
    <x:xf numFmtId="0" fontId="5" fillId="3" borderId="0" xfId="0" applyFont="1" applyFill="1" applyAlignment="1">
      <x:alignment horizontal="center" vertical="center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9" fillId="8" borderId="2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200" fontId="0" fillId="9" borderId="0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200" fontId="0" fillId="9" borderId="2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200" fontId="0" fillId="12" borderId="0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200" fontId="0" fillId="12" borderId="2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200" fontId="0" fillId="13" borderId="0" xfId="0" applyNumberFormat="1" applyFont="1" applyFill="1" applyBorder="1" applyAlignment="1">
      <x:alignment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200" fontId="0" fillId="13" borderId="2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200" fontId="0" fillId="14" borderId="0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vertical="center" wrapText="1"/>
    </x:xf>
    <x:xf numFmtId="200" fontId="0" fillId="14" borderId="2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200" fontId="0" fillId="15" borderId="2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2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200" fontId="0" fillId="16" borderId="0" xfId="0" applyNumberFormat="1" applyFont="1" applyFill="1" applyBorder="1" applyAlignment="1">
      <x:alignment vertical="center" wrapText="1"/>
    </x:xf>
    <x:xf numFmtId="0" fontId="0" fillId="16" borderId="2" xfId="0" applyNumberFormat="1" applyFont="1" applyFill="1" applyBorder="1" applyAlignment="1">
      <x:alignment vertical="center" wrapText="1"/>
    </x:xf>
    <x:xf numFmtId="200" fontId="0" fillId="16" borderId="2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0" fillId="16" borderId="2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200" fontId="0" fillId="17" borderId="0" xfId="0" applyNumberFormat="1" applyFont="1" applyFill="1" applyBorder="1" applyAlignment="1">
      <x:alignment vertical="center" wrapText="1"/>
    </x:xf>
    <x:xf numFmtId="0" fontId="0" fillId="17" borderId="2" xfId="0" applyNumberFormat="1" applyFont="1" applyFill="1" applyBorder="1" applyAlignment="1">
      <x:alignment vertical="center" wrapText="1"/>
    </x:xf>
    <x:xf numFmtId="200" fontId="0" fillId="17" borderId="2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0" fontId="10" fillId="17" borderId="2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200" fontId="0" fillId="18" borderId="0" xfId="0" applyNumberFormat="1" applyFont="1" applyFill="1" applyBorder="1" applyAlignment="1">
      <x:alignment vertical="center" wrapText="1"/>
    </x:xf>
    <x:xf numFmtId="0" fontId="0" fillId="18" borderId="2" xfId="0" applyNumberFormat="1" applyFont="1" applyFill="1" applyBorder="1" applyAlignment="1">
      <x:alignment vertical="center" wrapText="1"/>
    </x:xf>
    <x:xf numFmtId="200" fontId="0" fillId="18" borderId="2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vertical="center" wrapText="1"/>
    </x:xf>
    <x:xf numFmtId="0" fontId="10" fillId="18" borderId="2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200" fontId="0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 applyAlignment="1">
      <x:alignment vertical="center" wrapText="1"/>
    </x:xf>
    <x:xf numFmtId="200" fontId="0" fillId="19" borderId="2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1"/>
    </x:xf>
    <x:xf numFmtId="0" fontId="10" fillId="19" borderId="2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2" xfId="0" applyNumberFormat="1" applyFont="1" applyFill="1" applyBorder="1" applyAlignment="1">
      <x:alignment vertical="center" wrapText="1"/>
    </x:xf>
    <x:xf numFmtId="200" fontId="0" fillId="20" borderId="2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10" fillId="20" borderId="2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200" fontId="0" fillId="21" borderId="0" xfId="0" applyNumberFormat="1" applyFont="1" applyFill="1" applyBorder="1" applyAlignment="1">
      <x:alignment vertical="center" wrapText="1"/>
    </x:xf>
    <x:xf numFmtId="0" fontId="0" fillId="21" borderId="2" xfId="0" applyNumberFormat="1" applyFont="1" applyFill="1" applyBorder="1" applyAlignment="1">
      <x:alignment vertical="center" wrapText="1"/>
    </x:xf>
    <x:xf numFmtId="200" fontId="0" fillId="21" borderId="2" xfId="0" applyNumberFormat="1" applyFont="1" applyFill="1" applyBorder="1" applyAlignment="1">
      <x:alignment vertical="center" wrapText="1"/>
    </x:xf>
    <x:xf numFmtId="0" fontId="10" fillId="21" borderId="0" xfId="0" applyNumberFormat="1" applyFont="1" applyFill="1" applyBorder="1" applyAlignment="1">
      <x:alignment vertical="center" wrapText="1"/>
    </x:xf>
    <x:xf numFmtId="0" fontId="10" fillId="21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188477e9244b4" /><Relationship Type="http://schemas.openxmlformats.org/officeDocument/2006/relationships/theme" Target="/xl/theme/theme1.xml" Id="Rf5ecf82e324e47fd" /><Relationship Type="http://schemas.openxmlformats.org/officeDocument/2006/relationships/sharedStrings" Target="/xl/sharedStrings.xml" Id="Rb63a2922fb464192" /><Relationship Type="http://schemas.openxmlformats.org/officeDocument/2006/relationships/worksheet" Target="/xl/worksheets/sheet1.xml" Id="R52864605d4f04e14" /><Relationship Type="http://schemas.openxmlformats.org/officeDocument/2006/relationships/worksheet" Target="/xl/worksheets/sheet2.xml" Id="Ra483a21892b043a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45" customWidth="1"/>
    <x:col min="2" max="2" width="22" customWidth="1"/>
    <x:col min="3" max="3" width="12" customWidth="1"/>
    <x:col min="4" max="14" width="6" customWidth="1"/>
  </x:cols>
  <x:sheetData>
    <x:row r="1" ht="18">
      <x:c r="A1" s="1" t="s">
        <x:v>0</x:v>
      </x:c>
      <x:c r="B1" s="1"/>
      <x:c r="C1" s="1"/>
    </x:row>
    <x:row r="2">
      <x:c r="D2" s="2" t="s">
        <x:v>1</x:v>
      </x:c>
      <x:c r="E2" s="2" t="s">
        <x:v>2</x:v>
      </x:c>
      <x:c r="F2" s="2" t="s">
        <x:v>3</x:v>
      </x:c>
      <x:c r="G2" s="2" t="s">
        <x:v>4</x:v>
      </x:c>
      <x:c r="H2" s="2" t="s">
        <x:v>5</x:v>
      </x:c>
      <x:c r="I2" s="2" t="s">
        <x:v>6</x:v>
      </x:c>
      <x:c r="J2" s="2" t="s">
        <x:v>7</x:v>
      </x:c>
      <x:c r="K2" s="2" t="s">
        <x:v>8</x:v>
      </x:c>
      <x:c r="L2" s="2" t="s">
        <x:v>9</x:v>
      </x:c>
      <x:c r="M2" s="2" t="s">
        <x:v>10</x:v>
      </x:c>
      <x:c r="N2" s="2" t="s">
        <x:v>11</x:v>
      </x:c>
    </x:row>
    <x:row r="3">
      <x:c r="A3" s="3" t="s">
        <x:v>12</x:v>
      </x:c>
      <x:c r="B3" s="3" t="s">
        <x:v>13</x:v>
      </x:c>
      <x:c r="C3" s="3" t="s">
        <x:v>14</x:v>
      </x:c>
      <x:c r="D3" s="3" t="s">
        <x:v>15</x:v>
      </x:c>
      <x:c r="E3" s="3" t="s">
        <x:v>16</x:v>
      </x:c>
      <x:c r="F3" s="3" t="s">
        <x:v>17</x:v>
      </x:c>
      <x:c r="G3" s="3" t="s">
        <x:v>18</x:v>
      </x:c>
      <x:c r="H3" s="3" t="s">
        <x:v>19</x:v>
      </x:c>
      <x:c r="I3" s="3" t="s">
        <x:v>20</x:v>
      </x:c>
      <x:c r="J3" s="3" t="s">
        <x:v>21</x:v>
      </x:c>
      <x:c r="K3" s="3" t="s">
        <x:v>22</x:v>
      </x:c>
      <x:c r="L3" s="3" t="s">
        <x:v>23</x:v>
      </x:c>
      <x:c r="M3" s="3" t="s">
        <x:v>24</x:v>
      </x:c>
    </x:row>
    <x:row r="4" ht="27.75" customHeight="1">
      <x:c r="A4" s="4" t="s">
        <x:v>25</x:v>
      </x:c>
      <x:c r="B4" s="5" t="s">
        <x:v>26</x:v>
      </x:c>
      <x:c r="C4" s="6" t="s">
        <x:v>27</x:v>
      </x:c>
      <x:c r="D4" s="6" t="s">
        <x:v>27</x:v>
      </x:c>
      <x:c r="E4" s="7"/>
      <x:c r="F4" s="7"/>
      <x:c r="G4" s="7"/>
      <x:c r="H4" s="7"/>
      <x:c r="I4" s="7"/>
      <x:c r="J4" s="7"/>
      <x:c r="K4" s="7"/>
      <x:c r="L4" s="7"/>
      <x:c r="M4" s="7"/>
    </x:row>
    <x:row r="5" ht="27.75" customHeight="1">
      <x:c r="A5" s="4" t="s">
        <x:v>28</x:v>
      </x:c>
      <x:c r="B5" s="5"/>
      <x:c r="C5" s="7"/>
      <x:c r="D5" s="8" t="s">
        <x:v>27</x:v>
      </x:c>
      <x:c r="E5" s="8" t="s">
        <x:v>27</x:v>
      </x:c>
      <x:c r="F5" s="7"/>
      <x:c r="G5" s="7"/>
      <x:c r="H5" s="7"/>
      <x:c r="I5" s="7"/>
      <x:c r="J5" s="7"/>
      <x:c r="K5" s="7"/>
      <x:c r="L5" s="7"/>
      <x:c r="M5" s="7"/>
    </x:row>
    <x:row r="6" ht="27.75" customHeight="1">
      <x:c r="A6" s="4" t="s">
        <x:v>29</x:v>
      </x:c>
      <x:c r="B6" s="5"/>
      <x:c r="C6" s="7"/>
      <x:c r="D6" s="8" t="s">
        <x:v>27</x:v>
      </x:c>
      <x:c r="E6" s="8" t="s">
        <x:v>27</x:v>
      </x:c>
      <x:c r="F6" s="8" t="s">
        <x:v>27</x:v>
      </x:c>
      <x:c r="G6" s="7"/>
      <x:c r="H6" s="7"/>
      <x:c r="I6" s="7"/>
      <x:c r="J6" s="7"/>
      <x:c r="K6" s="7"/>
      <x:c r="L6" s="7"/>
      <x:c r="M6" s="7"/>
    </x:row>
    <x:row r="7" ht="27.75" customHeight="1">
      <x:c r="A7" s="4" t="s">
        <x:v>30</x:v>
      </x:c>
      <x:c r="B7" s="5"/>
      <x:c r="C7" s="7"/>
      <x:c r="D7" s="7"/>
      <x:c r="E7" s="7"/>
      <x:c r="F7" s="8" t="s">
        <x:v>27</x:v>
      </x:c>
      <x:c r="G7" s="8" t="s">
        <x:v>27</x:v>
      </x:c>
      <x:c r="H7" s="7"/>
      <x:c r="I7" s="7"/>
      <x:c r="J7" s="7"/>
      <x:c r="K7" s="7"/>
      <x:c r="L7" s="7"/>
      <x:c r="M7" s="7"/>
    </x:row>
    <x:row r="8" ht="27.75" customHeight="1">
      <x:c r="A8" s="4" t="s">
        <x:v>31</x:v>
      </x:c>
      <x:c r="B8" s="5"/>
      <x:c r="C8" s="7"/>
      <x:c r="D8" s="7"/>
      <x:c r="E8" s="7"/>
      <x:c r="F8" s="8" t="s">
        <x:v>27</x:v>
      </x:c>
      <x:c r="G8" s="8" t="s">
        <x:v>27</x:v>
      </x:c>
      <x:c r="H8" s="7"/>
      <x:c r="I8" s="7"/>
      <x:c r="J8" s="7"/>
      <x:c r="K8" s="7"/>
      <x:c r="L8" s="7"/>
      <x:c r="M8" s="7"/>
    </x:row>
    <x:row r="9" ht="27.75" customHeight="1">
      <x:c r="A9" s="4" t="s">
        <x:v>32</x:v>
      </x:c>
      <x:c r="B9" s="5"/>
      <x:c r="C9" s="7"/>
      <x:c r="D9" s="7"/>
      <x:c r="E9" s="7"/>
      <x:c r="F9" s="7"/>
      <x:c r="G9" s="8" t="s">
        <x:v>27</x:v>
      </x:c>
      <x:c r="H9" s="7"/>
      <x:c r="I9" s="7"/>
      <x:c r="J9" s="7"/>
      <x:c r="K9" s="7"/>
      <x:c r="L9" s="7"/>
      <x:c r="M9" s="7"/>
    </x:row>
    <x:row r="10" ht="27.75" customHeight="1">
      <x:c r="A10" s="4" t="s">
        <x:v>33</x:v>
      </x:c>
      <x:c r="B10" s="5"/>
      <x:c r="C10" s="7"/>
      <x:c r="D10" s="7"/>
      <x:c r="E10" s="7"/>
      <x:c r="F10" s="7"/>
      <x:c r="G10" s="8" t="s">
        <x:v>27</x:v>
      </x:c>
      <x:c r="H10" s="7"/>
      <x:c r="I10" s="7"/>
      <x:c r="J10" s="7"/>
      <x:c r="K10" s="7"/>
      <x:c r="L10" s="7"/>
      <x:c r="M10" s="7"/>
    </x:row>
    <x:row r="11" ht="27.75" customHeight="1">
      <x:c r="A11" s="4" t="s">
        <x:v>34</x:v>
      </x:c>
      <x:c r="B11" s="5" t="s">
        <x:v>35</x:v>
      </x:c>
      <x:c r="C11" s="7"/>
      <x:c r="D11" s="7"/>
      <x:c r="E11" s="7"/>
      <x:c r="F11" s="7"/>
      <x:c r="G11" s="7"/>
      <x:c r="H11" s="6" t="s">
        <x:v>27</x:v>
      </x:c>
      <x:c r="I11" s="7"/>
      <x:c r="J11" s="7"/>
      <x:c r="K11" s="7"/>
      <x:c r="L11" s="7"/>
      <x:c r="M11" s="7"/>
    </x:row>
    <x:row r="12" ht="27.75" customHeight="1">
      <x:c r="A12" s="4" t="s">
        <x:v>36</x:v>
      </x:c>
      <x:c r="B12" s="5"/>
      <x:c r="C12" s="7"/>
      <x:c r="D12" s="7"/>
      <x:c r="E12" s="7"/>
      <x:c r="F12" s="7"/>
      <x:c r="G12" s="7"/>
      <x:c r="H12" s="7"/>
      <x:c r="I12" s="8" t="s">
        <x:v>27</x:v>
      </x:c>
      <x:c r="J12" s="8" t="s">
        <x:v>27</x:v>
      </x:c>
      <x:c r="K12" s="7"/>
      <x:c r="L12" s="7"/>
      <x:c r="M12" s="7"/>
    </x:row>
    <x:row r="13" ht="27.75" customHeight="1">
      <x:c r="A13" s="4" t="s">
        <x:v>37</x:v>
      </x:c>
      <x:c r="B13" s="5"/>
      <x:c r="C13" s="7"/>
      <x:c r="D13" s="7"/>
      <x:c r="E13" s="7"/>
      <x:c r="F13" s="7"/>
      <x:c r="G13" s="7"/>
      <x:c r="H13" s="7"/>
      <x:c r="I13" s="8" t="s">
        <x:v>27</x:v>
      </x:c>
      <x:c r="J13" s="7"/>
      <x:c r="K13" s="7"/>
      <x:c r="L13" s="7"/>
      <x:c r="M13" s="7"/>
    </x:row>
    <x:row r="14" ht="27.75" customHeight="1">
      <x:c r="A14" s="4" t="s">
        <x:v>38</x:v>
      </x:c>
      <x:c r="B14" s="5"/>
      <x:c r="C14" s="7"/>
      <x:c r="D14" s="7"/>
      <x:c r="E14" s="7"/>
      <x:c r="F14" s="7"/>
      <x:c r="G14" s="7"/>
      <x:c r="H14" s="7"/>
      <x:c r="I14" s="7"/>
      <x:c r="J14" s="8" t="s">
        <x:v>27</x:v>
      </x:c>
      <x:c r="K14" s="7"/>
      <x:c r="L14" s="7"/>
      <x:c r="M14" s="7"/>
    </x:row>
    <x:row r="15" ht="27.75" customHeight="1">
      <x:c r="A15" s="4" t="s">
        <x:v>39</x:v>
      </x:c>
      <x:c r="B15" s="5"/>
      <x:c r="C15" s="7"/>
      <x:c r="D15" s="7"/>
      <x:c r="E15" s="7"/>
      <x:c r="F15" s="7"/>
      <x:c r="G15" s="7"/>
      <x:c r="H15" s="7"/>
      <x:c r="I15" s="7"/>
      <x:c r="J15" s="7"/>
      <x:c r="K15" s="8" t="s">
        <x:v>27</x:v>
      </x:c>
      <x:c r="L15" s="7"/>
      <x:c r="M15" s="7"/>
    </x:row>
    <x:row r="16" ht="27.75" customHeight="1">
      <x:c r="A16" s="4" t="s">
        <x:v>40</x:v>
      </x:c>
      <x:c r="B16" s="5"/>
      <x:c r="C16" s="7"/>
      <x:c r="D16" s="7"/>
      <x:c r="E16" s="7"/>
      <x:c r="F16" s="7"/>
      <x:c r="G16" s="7"/>
      <x:c r="H16" s="7"/>
      <x:c r="I16" s="7"/>
      <x:c r="J16" s="7"/>
      <x:c r="K16" s="8" t="s">
        <x:v>27</x:v>
      </x:c>
      <x:c r="L16" s="8" t="s">
        <x:v>27</x:v>
      </x:c>
      <x:c r="M16" s="7"/>
    </x:row>
    <x:row r="17" ht="27.75" customHeight="1">
      <x:c r="A17" s="4" t="s">
        <x:v>41</x:v>
      </x:c>
      <x:c r="B17" s="5" t="s">
        <x:v>42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6" t="s">
        <x:v>27</x:v>
      </x:c>
      <x:c r="M17" s="7"/>
    </x:row>
    <x:row r="18" ht="27.75" customHeight="1">
      <x:c r="A18" s="4" t="s">
        <x:v>43</x:v>
      </x:c>
      <x:c r="B18" s="5" t="s">
        <x:v>44</x:v>
      </x:c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6" t="s">
        <x:v>27</x:v>
      </x:c>
    </x:row>
    <x:row r="19" ht="27.75" customHeight="1">
      <x:c r="A19" s="4" t="s">
        <x:v>45</x:v>
      </x:c>
      <x:c r="B19" s="5"/>
      <x:c r="C19" s="7"/>
      <x:c r="D19" s="7"/>
      <x:c r="E19" s="7"/>
      <x:c r="F19" s="8" t="s">
        <x:v>27</x:v>
      </x:c>
      <x:c r="G19" s="8" t="s">
        <x:v>27</x:v>
      </x:c>
      <x:c r="H19" s="8" t="s">
        <x:v>27</x:v>
      </x:c>
      <x:c r="I19" s="8" t="s">
        <x:v>27</x:v>
      </x:c>
      <x:c r="J19" s="8" t="s">
        <x:v>27</x:v>
      </x:c>
      <x:c r="K19" s="8" t="s">
        <x:v>27</x:v>
      </x:c>
      <x:c r="L19" s="8" t="s">
        <x:v>27</x:v>
      </x:c>
      <x:c r="M19" s="7"/>
    </x:row>
    <x:row r="22">
      <x:c r="A22" s="9" t="s">
        <x:v>46</x:v>
      </x:c>
    </x:row>
    <x:row r="23">
      <x:c r="A23" s="10" t="s">
        <x:v>27</x:v>
      </x:c>
      <x:c r="B23" s="11" t="s">
        <x:v>47</x:v>
      </x:c>
    </x:row>
    <x:row r="24">
      <x:c r="A24" s="12" t="s">
        <x:v>27</x:v>
      </x:c>
      <x:c r="B24" s="11" t="s">
        <x:v>48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62" hidden="0" customWidth="1"/>
    <x:col min="4" max="4" width="20" hidden="0" customWidth="1"/>
    <x:col min="5" max="5" width="20" hidden="0" customWidth="1"/>
    <x:col min="6" max="6" width="12" hidden="0" customWidth="1"/>
    <x:col min="7" max="7" width="19" hidden="0" customWidth="1"/>
    <x:col min="8" max="8" width="58" hidden="0" customWidth="1"/>
  </x:cols>
  <x:sheetData>
    <x:row r="1" ht="36" customHeight="1">
      <x:c r="A1" s="28" t="str">
        <x:v>TRYAI GAP · EQUIPO APP | DESGLOSE TÉCNICO</x:v>
      </x:c>
      <x:c r="B1" s="28"/>
      <x:c r="C1" s="28"/>
      <x:c r="D1" s="28"/>
      <x:c r="E1" s="28"/>
      <x:c r="F1" s="28"/>
      <x:c r="G1" s="28"/>
      <x:c r="H1" s="28"/>
    </x:row>
    <x:row r="2" ht="28" customHeight="1">
      <x:c r="A2" s="34" t="str">
        <x:v>Propuesta derivada de las 15 actividades de la Gantt actual. Los responsables y estados por confirmar son editables.</x:v>
      </x:c>
      <x:c r="B2" s="34"/>
      <x:c r="C2" s="34"/>
      <x:c r="D2" s="34"/>
      <x:c r="E2" s="34"/>
      <x:c r="F2" s="34"/>
      <x:c r="G2" s="34"/>
      <x:c r="H2" s="34"/>
    </x:row>
    <x:row r="3" ht="28" customHeight="1">
      <x:c r="A3" s="39" t="str">
        <x:v>Actividades Gantt</x:v>
      </x:c>
      <x:c r="B3" s="39" t="n">
        <x:v>15</x:v>
      </x:c>
      <x:c r="C3" s="39" t="str">
        <x:v>Subtareas</x:v>
      </x:c>
      <x:c r="D3" s="39" t="n">
        <x:v>80</x:v>
      </x:c>
      <x:c r="E3" s="39" t="str">
        <x:v>Completadas</x:v>
      </x:c>
      <x:c r="F3" s="39" t="n">
        <x:f>COUNTIF(G6:G200,"Completada")</x:f>
        <x:v>4</x:v>
      </x:c>
      <x:c r="G3" s="39" t="str">
        <x:v>Por verificar</x:v>
      </x:c>
      <x:c r="H3" s="39" t="n">
        <x:f>COUNTIF(G6:G200,"Por verificar")</x:f>
        <x:v>2</x:v>
      </x:c>
    </x:row>
    <x:row r="5" ht="36" customHeight="1">
      <x:c r="A5" s="45" t="str">
        <x:v>Actividad de la Gantt</x:v>
      </x:c>
      <x:c r="B5" s="45" t="str">
        <x:v>Sprint</x:v>
      </x:c>
      <x:c r="C5" s="45" t="str">
        <x:v>Tarea técnica</x:v>
      </x:c>
      <x:c r="D5" s="45" t="str">
        <x:v>Responsable</x:v>
      </x:c>
      <x:c r="E5" s="45" t="str">
        <x:v>Fecha planificada</x:v>
      </x:c>
      <x:c r="F5" s="45" t="str">
        <x:v>Avance %</x:v>
      </x:c>
      <x:c r="G5" s="45" t="str">
        <x:v>Estado</x:v>
      </x:c>
      <x:c r="H5" s="45" t="str">
        <x:v>Evidencia / criterio verificable</x:v>
      </x:c>
    </x:row>
    <x:row r="6" ht="48" customHeight="1">
      <x:c r="A6" s="60" t="str">
        <x:v>Desplegar web en Vercel + validar persistencia en BD real</x:v>
      </x:c>
      <x:c r="B6" s="56" t="str">
        <x:v>S1–S2</x:v>
      </x:c>
      <x:c r="C6" s="56" t="str">
        <x:v>Revisar configuración de repositorio y ramas para el despliegue</x:v>
      </x:c>
      <x:c r="D6" s="56" t="str">
        <x:v>Equipo</x:v>
      </x:c>
      <x:c r="E6" s="56" t="str">
        <x:v>21 sep–4 oct</x:v>
      </x:c>
      <x:c r="F6" s="57" t="str"/>
      <x:c r="G6" s="56" t="str">
        <x:v>Por verificar</x:v>
      </x:c>
      <x:c r="H6" s="56" t="str">
        <x:v>Repositorio y configuración de ramas</x:v>
      </x:c>
    </x:row>
    <x:row r="7" ht="35" customHeight="1">
      <x:c r="A7" s="52" t="str"/>
      <x:c r="B7" s="52" t="str">
        <x:v>S1–S2</x:v>
      </x:c>
      <x:c r="C7" s="52" t="str">
        <x:v>Configurar y desplegar el frontend en Vercel</x:v>
      </x:c>
      <x:c r="D7" s="52" t="str">
        <x:v>Equipo</x:v>
      </x:c>
      <x:c r="E7" s="52" t="str">
        <x:v>21 sep–4 oct</x:v>
      </x:c>
      <x:c r="F7" s="54" t="n">
        <x:v>100</x:v>
      </x:c>
      <x:c r="G7" s="62" t="str">
        <x:v>Completada</x:v>
      </x:c>
      <x:c r="H7" s="52" t="str">
        <x:v>Captura de versión principal accesible en Vercel</x:v>
      </x:c>
    </x:row>
    <x:row r="8" ht="35" customHeight="1">
      <x:c r="A8" s="52" t="str"/>
      <x:c r="B8" s="52" t="str">
        <x:v>S1–S2</x:v>
      </x:c>
      <x:c r="C8" s="52" t="str">
        <x:v>Verificar disponibilidad del backend FastAPI en Render</x:v>
      </x:c>
      <x:c r="D8" s="52" t="str">
        <x:v>Equipo</x:v>
      </x:c>
      <x:c r="E8" s="52" t="str">
        <x:v>21 sep–4 oct</x:v>
      </x:c>
      <x:c r="F8" s="54" t="n">
        <x:v>100</x:v>
      </x:c>
      <x:c r="G8" s="62" t="str">
        <x:v>Completada</x:v>
      </x:c>
      <x:c r="H8" s="52" t="str">
        <x:v>Servicio desplegado y acceso al dashboard</x:v>
      </x:c>
    </x:row>
    <x:row r="9" ht="35" customHeight="1">
      <x:c r="A9" s="52" t="str"/>
      <x:c r="B9" s="52" t="str">
        <x:v>S1–S2</x:v>
      </x:c>
      <x:c r="C9" s="52" t="str">
        <x:v>Comprobar conexión operativa entre frontend y API REST</x:v>
      </x:c>
      <x:c r="D9" s="52" t="str">
        <x:v>Equipo</x:v>
      </x:c>
      <x:c r="E9" s="52" t="str">
        <x:v>21 sep–4 oct</x:v>
      </x:c>
      <x:c r="F9" s="54" t="n">
        <x:v>100</x:v>
      </x:c>
      <x:c r="G9" s="62" t="str">
        <x:v>Completada</x:v>
      </x:c>
      <x:c r="H9" s="52" t="str">
        <x:v>Prueba de inicio de sesión en versión desplegada</x:v>
      </x:c>
    </x:row>
    <x:row r="10" ht="35" customHeight="1">
      <x:c r="A10" s="52" t="str"/>
      <x:c r="B10" s="52" t="str">
        <x:v>S1–S2</x:v>
      </x:c>
      <x:c r="C10" s="52" t="str">
        <x:v>Comprobar creación/actualización de organización desde el frontend</x:v>
      </x:c>
      <x:c r="D10" s="52" t="str">
        <x:v>Andrew</x:v>
      </x:c>
      <x:c r="E10" s="52" t="str">
        <x:v>21 sep–4 oct</x:v>
      </x:c>
      <x:c r="F10" s="54" t="str"/>
      <x:c r="G10" s="52" t="str">
        <x:v>Por verificar</x:v>
      </x:c>
      <x:c r="H10" s="52" t="str">
        <x:v>Respuesta PATCH 200 registrada; falta comprobar persistencia completa</x:v>
      </x:c>
    </x:row>
    <x:row r="11" ht="35" customHeight="1">
      <x:c r="A11" s="52" t="str"/>
      <x:c r="B11" s="52" t="str">
        <x:v>S1–S2</x:v>
      </x:c>
      <x:c r="C11" s="52" t="str">
        <x:v>Validar persistencia en PostgreSQL con lectura posterior de datos</x:v>
      </x:c>
      <x:c r="D11" s="52" t="str">
        <x:v>Equipo</x:v>
      </x:c>
      <x:c r="E11" s="52" t="str">
        <x:v>21 sep–4 oct</x:v>
      </x:c>
      <x:c r="F11" s="54" t="str"/>
      <x:c r="G11" s="64" t="str">
        <x:v>En progreso</x:v>
      </x:c>
      <x:c r="H11" s="52" t="str">
        <x:v>Consulta a la BD y evidencia de recuperación pendiente</x:v>
      </x:c>
    </x:row>
    <x:row r="12" ht="35" customHeight="1">
      <x:c r="A12" s="52" t="str"/>
      <x:c r="B12" s="52" t="str">
        <x:v>S1–S2</x:v>
      </x:c>
      <x:c r="C12" s="52" t="str">
        <x:v>Comprobar aislamiento entre dos organizaciones de prueba</x:v>
      </x:c>
      <x:c r="D12" s="52" t="str">
        <x:v>Por asignar</x:v>
      </x:c>
      <x:c r="E12" s="52" t="str">
        <x:v>21 sep–4 oct</x:v>
      </x:c>
      <x:c r="F12" s="54" t="str"/>
      <x:c r="G12" s="52" t="str">
        <x:v>Pendiente</x:v>
      </x:c>
      <x:c r="H12" s="52" t="str">
        <x:v>Pruebas TRV-06 pendientes</x:v>
      </x:c>
    </x:row>
    <x:row r="13" ht="35" customHeight="1">
      <x:c r="A13" s="52" t="str"/>
      <x:c r="B13" s="52" t="str">
        <x:v>S1–S2</x:v>
      </x:c>
      <x:c r="C13" s="52" t="str">
        <x:v>Ejecutar prueba integral de registro, onboarding y reingreso</x:v>
      </x:c>
      <x:c r="D13" s="52" t="str">
        <x:v>Equipo</x:v>
      </x:c>
      <x:c r="E13" s="52" t="str">
        <x:v>21 sep–4 oct</x:v>
      </x:c>
      <x:c r="F13" s="54" t="str"/>
      <x:c r="G13" s="64" t="str">
        <x:v>En progreso</x:v>
      </x:c>
      <x:c r="H13" s="52" t="str">
        <x:v>Registro y reingreso verificados; faltan casos integrales</x:v>
      </x:c>
    </x:row>
    <x:row r="14" ht="35" customHeight="1">
      <x:c r="A14" s="52" t="str"/>
      <x:c r="B14" s="52" t="str">
        <x:v>S1–S2</x:v>
      </x:c>
      <x:c r="C14" s="52" t="str">
        <x:v>Corregir redirección del reingreso por enlace mágico</x:v>
      </x:c>
      <x:c r="D14" s="52" t="str">
        <x:v>Andrew</x:v>
      </x:c>
      <x:c r="E14" s="52" t="str">
        <x:v>21 sep–4 oct</x:v>
      </x:c>
      <x:c r="F14" s="54" t="n">
        <x:v>100</x:v>
      </x:c>
      <x:c r="G14" s="62" t="str">
        <x:v>Completada</x:v>
      </x:c>
      <x:c r="H14" s="52" t="str">
        <x:v>Prueba local y dashboard de Vercel tras nuevo enlace</x:v>
      </x:c>
    </x:row>
    <x:row r="15" ht="48" customHeight="1">
      <x:c r="A15" s="70" t="str">
        <x:v>Rebranding Klertech (logos, colores, textos 4 idiomas)</x:v>
      </x:c>
      <x:c r="B15" s="66" t="str">
        <x:v>S2–S3</x:v>
      </x:c>
      <x:c r="C15" s="66" t="str">
        <x:v>Inventariar apariciones de la marca original en web y correos</x:v>
      </x:c>
      <x:c r="D15" s="66" t="str">
        <x:v>Por asignar</x:v>
      </x:c>
      <x:c r="E15" s="66" t="str">
        <x:v>28 sep–11 oct</x:v>
      </x:c>
      <x:c r="F15" s="67" t="str"/>
      <x:c r="G15" s="66" t="str">
        <x:v>Pendiente</x:v>
      </x:c>
      <x:c r="H15" s="66" t="str">
        <x:v>Checklist de elementos afectados</x:v>
      </x:c>
    </x:row>
    <x:row r="16" ht="35" customHeight="1">
      <x:c r="A16" s="52" t="str"/>
      <x:c r="B16" s="52" t="str">
        <x:v>S2–S3</x:v>
      </x:c>
      <x:c r="C16" s="52" t="str">
        <x:v>Reemplazar logotipos, favicon y elementos gráficos</x:v>
      </x:c>
      <x:c r="D16" s="52" t="str">
        <x:v>Por asignar</x:v>
      </x:c>
      <x:c r="E16" s="52" t="str">
        <x:v>28 sep–11 oct</x:v>
      </x:c>
      <x:c r="F16" s="54" t="str"/>
      <x:c r="G16" s="52" t="str">
        <x:v>Pendiente</x:v>
      </x:c>
      <x:c r="H16" s="52" t="str">
        <x:v>Capturas comparativas</x:v>
      </x:c>
    </x:row>
    <x:row r="17" ht="35" customHeight="1">
      <x:c r="A17" s="52" t="str"/>
      <x:c r="B17" s="52" t="str">
        <x:v>S2–S3</x:v>
      </x:c>
      <x:c r="C17" s="52" t="str">
        <x:v>Aplicar paleta, tipografía y estilos oficiales de Klertech</x:v>
      </x:c>
      <x:c r="D17" s="52" t="str">
        <x:v>Por asignar</x:v>
      </x:c>
      <x:c r="E17" s="52" t="str">
        <x:v>28 sep–11 oct</x:v>
      </x:c>
      <x:c r="F17" s="54" t="str"/>
      <x:c r="G17" s="52" t="str">
        <x:v>Pendiente</x:v>
      </x:c>
      <x:c r="H17" s="52" t="str">
        <x:v>Comparación con guía de marca</x:v>
      </x:c>
    </x:row>
    <x:row r="18" ht="35" customHeight="1">
      <x:c r="A18" s="52" t="str"/>
      <x:c r="B18" s="52" t="str">
        <x:v>S2–S3</x:v>
      </x:c>
      <x:c r="C18" s="52" t="str">
        <x:v>Actualizar textos visibles en ES/EN/DE/PT</x:v>
      </x:c>
      <x:c r="D18" s="52" t="str">
        <x:v>Por asignar</x:v>
      </x:c>
      <x:c r="E18" s="52" t="str">
        <x:v>28 sep–11 oct</x:v>
      </x:c>
      <x:c r="F18" s="54" t="str"/>
      <x:c r="G18" s="52" t="str">
        <x:v>Pendiente</x:v>
      </x:c>
      <x:c r="H18" s="52" t="str">
        <x:v>Comprobación por idioma</x:v>
      </x:c>
    </x:row>
    <x:row r="19" ht="35" customHeight="1">
      <x:c r="A19" s="52" t="str"/>
      <x:c r="B19" s="52" t="str">
        <x:v>S2–S3</x:v>
      </x:c>
      <x:c r="C19" s="52" t="str">
        <x:v>Validar coherencia visual en rutas públicas y autenticadas</x:v>
      </x:c>
      <x:c r="D19" s="52" t="str">
        <x:v>Por asignar</x:v>
      </x:c>
      <x:c r="E19" s="52" t="str">
        <x:v>28 sep–11 oct</x:v>
      </x:c>
      <x:c r="F19" s="54" t="str"/>
      <x:c r="G19" s="52" t="str">
        <x:v>Pendiente</x:v>
      </x:c>
      <x:c r="H19" s="52" t="str">
        <x:v>Capturas y pruebas de navegación</x:v>
      </x:c>
    </x:row>
    <x:row r="20" ht="48" customHeight="1">
      <x:c r="A20" s="76" t="str">
        <x:v>Login con contraseña, recuperación y 2FA</x:v>
      </x:c>
      <x:c r="B20" s="72" t="str">
        <x:v>S2–S4</x:v>
      </x:c>
      <x:c r="C20" s="72" t="str">
        <x:v>Acordar contrato y reparto del requerimiento transversal TRV-04</x:v>
      </x:c>
      <x:c r="D20" s="72" t="str">
        <x:v>Equipos App/Admin</x:v>
      </x:c>
      <x:c r="E20" s="72" t="str">
        <x:v>28 sep–18 oct</x:v>
      </x:c>
      <x:c r="F20" s="73" t="str"/>
      <x:c r="G20" s="72" t="str">
        <x:v>Pendiente</x:v>
      </x:c>
      <x:c r="H20" s="72" t="str">
        <x:v>Acuerdo de API y responsabilidades</x:v>
      </x:c>
    </x:row>
    <x:row r="21" ht="35" customHeight="1">
      <x:c r="A21" s="52" t="str"/>
      <x:c r="B21" s="52" t="str">
        <x:v>S2–S4</x:v>
      </x:c>
      <x:c r="C21" s="52" t="str">
        <x:v>Añadir contraseña al registro e inicio de sesión de usuarios</x:v>
      </x:c>
      <x:c r="D21" s="52" t="str">
        <x:v>Por asignar</x:v>
      </x:c>
      <x:c r="E21" s="52" t="str">
        <x:v>28 sep–18 oct</x:v>
      </x:c>
      <x:c r="F21" s="54" t="str"/>
      <x:c r="G21" s="52" t="str">
        <x:v>Pendiente</x:v>
      </x:c>
      <x:c r="H21" s="52" t="str">
        <x:v>Prueba de registro e inicio de sesión</x:v>
      </x:c>
    </x:row>
    <x:row r="22" ht="35" customHeight="1">
      <x:c r="A22" s="52" t="str"/>
      <x:c r="B22" s="52" t="str">
        <x:v>S2–S4</x:v>
      </x:c>
      <x:c r="C22" s="52" t="str">
        <x:v>Aplicar almacenamiento seguro y verificación de contraseñas</x:v>
      </x:c>
      <x:c r="D22" s="52" t="str">
        <x:v>Por asignar</x:v>
      </x:c>
      <x:c r="E22" s="52" t="str">
        <x:v>28 sep–18 oct</x:v>
      </x:c>
      <x:c r="F22" s="54" t="str"/>
      <x:c r="G22" s="52" t="str">
        <x:v>Pendiente</x:v>
      </x:c>
      <x:c r="H22" s="52" t="str">
        <x:v>Prueba de validación del backend</x:v>
      </x:c>
    </x:row>
    <x:row r="23" ht="35" customHeight="1">
      <x:c r="A23" s="52" t="str"/>
      <x:c r="B23" s="52" t="str">
        <x:v>S2–S4</x:v>
      </x:c>
      <x:c r="C23" s="52" t="str">
        <x:v>Implementar recuperación de contraseña por correo</x:v>
      </x:c>
      <x:c r="D23" s="52" t="str">
        <x:v>Por asignar</x:v>
      </x:c>
      <x:c r="E23" s="52" t="str">
        <x:v>28 sep–18 oct</x:v>
      </x:c>
      <x:c r="F23" s="54" t="str"/>
      <x:c r="G23" s="52" t="str">
        <x:v>Pendiente</x:v>
      </x:c>
      <x:c r="H23" s="52" t="str">
        <x:v>Prueba de enlace/código de recuperación</x:v>
      </x:c>
    </x:row>
    <x:row r="24" ht="35" customHeight="1">
      <x:c r="A24" s="52" t="str"/>
      <x:c r="B24" s="52" t="str">
        <x:v>S2–S4</x:v>
      </x:c>
      <x:c r="C24" s="52" t="str">
        <x:v>Implementar configuración y validación de 2FA opcional por correo</x:v>
      </x:c>
      <x:c r="D24" s="52" t="str">
        <x:v>Por asignar</x:v>
      </x:c>
      <x:c r="E24" s="52" t="str">
        <x:v>28 sep–18 oct</x:v>
      </x:c>
      <x:c r="F24" s="54" t="str"/>
      <x:c r="G24" s="52" t="str">
        <x:v>Pendiente</x:v>
      </x:c>
      <x:c r="H24" s="52" t="str">
        <x:v>Casos con 2FA activo e inactivo</x:v>
      </x:c>
    </x:row>
    <x:row r="25" ht="35" customHeight="1">
      <x:c r="A25" s="52" t="str"/>
      <x:c r="B25" s="52" t="str">
        <x:v>S2–S4</x:v>
      </x:c>
      <x:c r="C25" s="52" t="str">
        <x:v>Integrar frontend, roles y renovación de JWT</x:v>
      </x:c>
      <x:c r="D25" s="52" t="str">
        <x:v>Por asignar</x:v>
      </x:c>
      <x:c r="E25" s="52" t="str">
        <x:v>28 sep–18 oct</x:v>
      </x:c>
      <x:c r="F25" s="54" t="str"/>
      <x:c r="G25" s="52" t="str">
        <x:v>Pendiente</x:v>
      </x:c>
      <x:c r="H25" s="52" t="str">
        <x:v>Pruebas de rutas protegidas y sesión</x:v>
      </x:c>
    </x:row>
    <x:row r="26" ht="35" customHeight="1">
      <x:c r="A26" s="52" t="str"/>
      <x:c r="B26" s="52" t="str">
        <x:v>S2–S4</x:v>
      </x:c>
      <x:c r="C26" s="52" t="str">
        <x:v>Ejecutar pruebas funcionales y de seguridad del nuevo login</x:v>
      </x:c>
      <x:c r="D26" s="52" t="str">
        <x:v>Por asignar</x:v>
      </x:c>
      <x:c r="E26" s="52" t="str">
        <x:v>28 sep–18 oct</x:v>
      </x:c>
      <x:c r="F26" s="54" t="str"/>
      <x:c r="G26" s="52" t="str">
        <x:v>Pendiente</x:v>
      </x:c>
      <x:c r="H26" s="52" t="str">
        <x:v>Casos positivos, negativos y regresión</x:v>
      </x:c>
    </x:row>
    <x:row r="27" ht="48" customHeight="1">
      <x:c r="A27" s="82" t="str">
        <x:v>Resultados reales (radar, heatmap, matriz)</x:v>
      </x:c>
      <x:c r="B27" s="78" t="str">
        <x:v>S4–S5</x:v>
      </x:c>
      <x:c r="C27" s="78" t="str">
        <x:v>Definir entradas y fórmulas a partir de respuestas reales</x:v>
      </x:c>
      <x:c r="D27" s="78" t="str">
        <x:v>Por asignar</x:v>
      </x:c>
      <x:c r="E27" s="78" t="str">
        <x:v>12–25 oct</x:v>
      </x:c>
      <x:c r="F27" s="79" t="str"/>
      <x:c r="G27" s="78" t="str">
        <x:v>Pendiente</x:v>
      </x:c>
      <x:c r="H27" s="78" t="str">
        <x:v>Documento de reglas de cálculo</x:v>
      </x:c>
    </x:row>
    <x:row r="28" ht="35" customHeight="1">
      <x:c r="A28" s="52" t="str"/>
      <x:c r="B28" s="52" t="str">
        <x:v>S4–S5</x:v>
      </x:c>
      <x:c r="C28" s="52" t="str">
        <x:v>Implementar cálculo de madurez y puntajes por dimensión</x:v>
      </x:c>
      <x:c r="D28" s="52" t="str">
        <x:v>Por asignar</x:v>
      </x:c>
      <x:c r="E28" s="52" t="str">
        <x:v>12–25 oct</x:v>
      </x:c>
      <x:c r="F28" s="54" t="str"/>
      <x:c r="G28" s="52" t="str">
        <x:v>Pendiente</x:v>
      </x:c>
      <x:c r="H28" s="52" t="str">
        <x:v>Resultados contrastados con datos de prueba</x:v>
      </x:c>
    </x:row>
    <x:row r="29" ht="35" customHeight="1">
      <x:c r="A29" s="52" t="str"/>
      <x:c r="B29" s="52" t="str">
        <x:v>S4–S5</x:v>
      </x:c>
      <x:c r="C29" s="52" t="str">
        <x:v>Implementar datos reales para heatmap de áreas</x:v>
      </x:c>
      <x:c r="D29" s="52" t="str">
        <x:v>Por asignar</x:v>
      </x:c>
      <x:c r="E29" s="52" t="str">
        <x:v>12–25 oct</x:v>
      </x:c>
      <x:c r="F29" s="54" t="str"/>
      <x:c r="G29" s="52" t="str">
        <x:v>Pendiente</x:v>
      </x:c>
      <x:c r="H29" s="52" t="str">
        <x:v>Comparación de API y visualización</x:v>
      </x:c>
    </x:row>
    <x:row r="30" ht="35" customHeight="1">
      <x:c r="A30" s="52" t="str"/>
      <x:c r="B30" s="52" t="str">
        <x:v>S4–S5</x:v>
      </x:c>
      <x:c r="C30" s="52" t="str">
        <x:v>Implementar matriz Pain × Readiness y priorización</x:v>
      </x:c>
      <x:c r="D30" s="52" t="str">
        <x:v>Por asignar</x:v>
      </x:c>
      <x:c r="E30" s="52" t="str">
        <x:v>12–25 oct</x:v>
      </x:c>
      <x:c r="F30" s="54" t="str"/>
      <x:c r="G30" s="52" t="str">
        <x:v>Pendiente</x:v>
      </x:c>
      <x:c r="H30" s="52" t="str">
        <x:v>Escenarios de prueba con resultados esperados</x:v>
      </x:c>
    </x:row>
    <x:row r="31" ht="35" customHeight="1">
      <x:c r="A31" s="52" t="str"/>
      <x:c r="B31" s="52" t="str">
        <x:v>S4–S5</x:v>
      </x:c>
      <x:c r="C31" s="52" t="str">
        <x:v>Conectar gráficos del frontend a endpoints reales</x:v>
      </x:c>
      <x:c r="D31" s="52" t="str">
        <x:v>Por asignar</x:v>
      </x:c>
      <x:c r="E31" s="52" t="str">
        <x:v>12–25 oct</x:v>
      </x:c>
      <x:c r="F31" s="54" t="str"/>
      <x:c r="G31" s="52" t="str">
        <x:v>Pendiente</x:v>
      </x:c>
      <x:c r="H31" s="52" t="str">
        <x:v>Capturas y respuestas API</x:v>
      </x:c>
    </x:row>
    <x:row r="32" ht="35" customHeight="1">
      <x:c r="A32" s="52" t="str"/>
      <x:c r="B32" s="52" t="str">
        <x:v>S4–S5</x:v>
      </x:c>
      <x:c r="C32" s="52" t="str">
        <x:v>Comprobar actualización de resultados al cambiar respuestas</x:v>
      </x:c>
      <x:c r="D32" s="52" t="str">
        <x:v>Por asignar</x:v>
      </x:c>
      <x:c r="E32" s="52" t="str">
        <x:v>12–25 oct</x:v>
      </x:c>
      <x:c r="F32" s="54" t="str"/>
      <x:c r="G32" s="52" t="str">
        <x:v>Pendiente</x:v>
      </x:c>
      <x:c r="H32" s="52" t="str">
        <x:v>Pruebas de consistencia</x:v>
      </x:c>
    </x:row>
    <x:row r="33" ht="48" customHeight="1">
      <x:c r="A33" s="88" t="str">
        <x:v>Vista de resultado parcial (plan gratuito)</x:v>
      </x:c>
      <x:c r="B33" s="84" t="str">
        <x:v>S4–S5</x:v>
      </x:c>
      <x:c r="C33" s="84" t="str">
        <x:v>Definir información visible para el usuario gratuito</x:v>
      </x:c>
      <x:c r="D33" s="84" t="str">
        <x:v>Por asignar</x:v>
      </x:c>
      <x:c r="E33" s="84" t="str">
        <x:v>12–25 oct</x:v>
      </x:c>
      <x:c r="F33" s="85" t="str"/>
      <x:c r="G33" s="84" t="str">
        <x:v>Pendiente</x:v>
      </x:c>
      <x:c r="H33" s="84" t="str">
        <x:v>Diseño y reglas de negocio</x:v>
      </x:c>
    </x:row>
    <x:row r="34" ht="35" customHeight="1">
      <x:c r="A34" s="52" t="str"/>
      <x:c r="B34" s="52" t="str">
        <x:v>S4–S5</x:v>
      </x:c>
      <x:c r="C34" s="52" t="str">
        <x:v>Implementar endpoint o respuesta para resultados parciales</x:v>
      </x:c>
      <x:c r="D34" s="52" t="str">
        <x:v>Por asignar</x:v>
      </x:c>
      <x:c r="E34" s="52" t="str">
        <x:v>12–25 oct</x:v>
      </x:c>
      <x:c r="F34" s="54" t="str"/>
      <x:c r="G34" s="52" t="str">
        <x:v>Pendiente</x:v>
      </x:c>
      <x:c r="H34" s="52" t="str">
        <x:v>Contrato API</x:v>
      </x:c>
    </x:row>
    <x:row r="35" ht="35" customHeight="1">
      <x:c r="A35" s="52" t="str"/>
      <x:c r="B35" s="52" t="str">
        <x:v>S4–S5</x:v>
      </x:c>
      <x:c r="C35" s="52" t="str">
        <x:v>Diseñar vista parcial y enlace hacia cotización/pago</x:v>
      </x:c>
      <x:c r="D35" s="52" t="str">
        <x:v>Por asignar</x:v>
      </x:c>
      <x:c r="E35" s="52" t="str">
        <x:v>12–25 oct</x:v>
      </x:c>
      <x:c r="F35" s="54" t="str"/>
      <x:c r="G35" s="52" t="str">
        <x:v>Pendiente</x:v>
      </x:c>
      <x:c r="H35" s="52" t="str">
        <x:v>Capturas de la interfaz</x:v>
      </x:c>
    </x:row>
    <x:row r="36" ht="35" customHeight="1">
      <x:c r="A36" s="52" t="str"/>
      <x:c r="B36" s="52" t="str">
        <x:v>S4–S5</x:v>
      </x:c>
      <x:c r="C36" s="52" t="str">
        <x:v>Validar restricciones del plan gratuito en operaciones individuales y lote</x:v>
      </x:c>
      <x:c r="D36" s="52" t="str">
        <x:v>Por asignar</x:v>
      </x:c>
      <x:c r="E36" s="52" t="str">
        <x:v>12–25 oct</x:v>
      </x:c>
      <x:c r="F36" s="54" t="str"/>
      <x:c r="G36" s="52" t="str">
        <x:v>Pendiente</x:v>
      </x:c>
      <x:c r="H36" s="52" t="str">
        <x:v>Pruebas de límite y control de acceso</x:v>
      </x:c>
    </x:row>
    <x:row r="37" ht="35" customHeight="1">
      <x:c r="A37" s="52" t="str"/>
      <x:c r="B37" s="52" t="str">
        <x:v>S4–S5</x:v>
      </x:c>
      <x:c r="C37" s="52" t="str">
        <x:v>Probar transición de Free a Pro sin pérdida de resultados</x:v>
      </x:c>
      <x:c r="D37" s="52" t="str">
        <x:v>Por asignar</x:v>
      </x:c>
      <x:c r="E37" s="52" t="str">
        <x:v>12–25 oct</x:v>
      </x:c>
      <x:c r="F37" s="54" t="str"/>
      <x:c r="G37" s="52" t="str">
        <x:v>Pendiente</x:v>
      </x:c>
      <x:c r="H37" s="52" t="str">
        <x:v>Prueba funcional</x:v>
      </x:c>
    </x:row>
    <x:row r="38" ht="48" customHeight="1">
      <x:c r="A38" s="94" t="str">
        <x:v>Aceptación de invitación (endpoint + página)</x:v>
      </x:c>
      <x:c r="B38" s="90" t="str">
        <x:v>S5</x:v>
      </x:c>
      <x:c r="C38" s="90" t="str">
        <x:v>Definir estructura y caducidad del token de invitación</x:v>
      </x:c>
      <x:c r="D38" s="90" t="str">
        <x:v>Por asignar</x:v>
      </x:c>
      <x:c r="E38" s="90" t="str">
        <x:v>19–25 oct</x:v>
      </x:c>
      <x:c r="F38" s="91" t="str"/>
      <x:c r="G38" s="90" t="str">
        <x:v>Pendiente</x:v>
      </x:c>
      <x:c r="H38" s="90" t="str">
        <x:v>Contrato de invitaciones</x:v>
      </x:c>
    </x:row>
    <x:row r="39" ht="35" customHeight="1">
      <x:c r="A39" s="52" t="str"/>
      <x:c r="B39" s="52" t="str">
        <x:v>S5</x:v>
      </x:c>
      <x:c r="C39" s="52" t="str">
        <x:v>Implementar endpoint de aceptación de invitación</x:v>
      </x:c>
      <x:c r="D39" s="52" t="str">
        <x:v>Por asignar</x:v>
      </x:c>
      <x:c r="E39" s="52" t="str">
        <x:v>19–25 oct</x:v>
      </x:c>
      <x:c r="F39" s="54" t="str"/>
      <x:c r="G39" s="52" t="str">
        <x:v>Pendiente</x:v>
      </x:c>
      <x:c r="H39" s="52" t="str">
        <x:v>Prueba de API</x:v>
      </x:c>
    </x:row>
    <x:row r="40" ht="35" customHeight="1">
      <x:c r="A40" s="52" t="str"/>
      <x:c r="B40" s="52" t="str">
        <x:v>S5</x:v>
      </x:c>
      <x:c r="C40" s="52" t="str">
        <x:v>Construir página /invite/:token y definición de contraseña</x:v>
      </x:c>
      <x:c r="D40" s="52" t="str">
        <x:v>Por asignar</x:v>
      </x:c>
      <x:c r="E40" s="52" t="str">
        <x:v>19–25 oct</x:v>
      </x:c>
      <x:c r="F40" s="54" t="str"/>
      <x:c r="G40" s="52" t="str">
        <x:v>Pendiente</x:v>
      </x:c>
      <x:c r="H40" s="52" t="str">
        <x:v>Captura del flujo</x:v>
      </x:c>
    </x:row>
    <x:row r="41" ht="35" customHeight="1">
      <x:c r="A41" s="52" t="str"/>
      <x:c r="B41" s="52" t="str">
        <x:v>S5</x:v>
      </x:c>
      <x:c r="C41" s="52" t="str">
        <x:v>Activar miembro y asociarlo a su organización/área</x:v>
      </x:c>
      <x:c r="D41" s="52" t="str">
        <x:v>Por asignar</x:v>
      </x:c>
      <x:c r="E41" s="52" t="str">
        <x:v>19–25 oct</x:v>
      </x:c>
      <x:c r="F41" s="54" t="str"/>
      <x:c r="G41" s="52" t="str">
        <x:v>Pendiente</x:v>
      </x:c>
      <x:c r="H41" s="52" t="str">
        <x:v>Comprobación de registro en BD</x:v>
      </x:c>
    </x:row>
    <x:row r="42" ht="35" customHeight="1">
      <x:c r="A42" s="52" t="str"/>
      <x:c r="B42" s="52" t="str">
        <x:v>S5</x:v>
      </x:c>
      <x:c r="C42" s="52" t="str">
        <x:v>Probar token inválido, usado, vencido y válido</x:v>
      </x:c>
      <x:c r="D42" s="52" t="str">
        <x:v>Por asignar</x:v>
      </x:c>
      <x:c r="E42" s="52" t="str">
        <x:v>19–25 oct</x:v>
      </x:c>
      <x:c r="F42" s="54" t="str"/>
      <x:c r="G42" s="52" t="str">
        <x:v>Pendiente</x:v>
      </x:c>
      <x:c r="H42" s="52" t="str">
        <x:v>Casos de prueba</x:v>
      </x:c>
    </x:row>
    <x:row r="43" ht="48" customHeight="1">
      <x:c r="A43" s="100" t="str">
        <x:v>Listado de revisiones de un diagnóstico</x:v>
      </x:c>
      <x:c r="B43" s="96" t="str">
        <x:v>S5</x:v>
      </x:c>
      <x:c r="C43" s="96" t="str">
        <x:v>Definir permisos y respuesta de listado por diagnóstico</x:v>
      </x:c>
      <x:c r="D43" s="96" t="str">
        <x:v>Por asignar</x:v>
      </x:c>
      <x:c r="E43" s="96" t="str">
        <x:v>19–25 oct</x:v>
      </x:c>
      <x:c r="F43" s="97" t="str"/>
      <x:c r="G43" s="96" t="str">
        <x:v>Pendiente</x:v>
      </x:c>
      <x:c r="H43" s="96" t="str">
        <x:v>Contrato de endpoint</x:v>
      </x:c>
    </x:row>
    <x:row r="44" ht="35" customHeight="1">
      <x:c r="A44" s="52" t="str"/>
      <x:c r="B44" s="52" t="str">
        <x:v>S5</x:v>
      </x:c>
      <x:c r="C44" s="52" t="str">
        <x:v>Implementar endpoint de revisiones filtrado por organización</x:v>
      </x:c>
      <x:c r="D44" s="52" t="str">
        <x:v>Por asignar</x:v>
      </x:c>
      <x:c r="E44" s="52" t="str">
        <x:v>19–25 oct</x:v>
      </x:c>
      <x:c r="F44" s="54" t="str"/>
      <x:c r="G44" s="52" t="str">
        <x:v>Pendiente</x:v>
      </x:c>
      <x:c r="H44" s="52" t="str">
        <x:v>Prueba de API y tenant</x:v>
      </x:c>
    </x:row>
    <x:row r="45" ht="35" customHeight="1">
      <x:c r="A45" s="52" t="str"/>
      <x:c r="B45" s="52" t="str">
        <x:v>S5</x:v>
      </x:c>
      <x:c r="C45" s="52" t="str">
        <x:v>Construir listado con estado y detalle de solicitudes</x:v>
      </x:c>
      <x:c r="D45" s="52" t="str">
        <x:v>Por asignar</x:v>
      </x:c>
      <x:c r="E45" s="52" t="str">
        <x:v>19–25 oct</x:v>
      </x:c>
      <x:c r="F45" s="54" t="str"/>
      <x:c r="G45" s="52" t="str">
        <x:v>Pendiente</x:v>
      </x:c>
      <x:c r="H45" s="52" t="str">
        <x:v>Capturas de interfaz</x:v>
      </x:c>
    </x:row>
    <x:row r="46" ht="35" customHeight="1">
      <x:c r="A46" s="52" t="str"/>
      <x:c r="B46" s="52" t="str">
        <x:v>S5</x:v>
      </x:c>
      <x:c r="C46" s="52" t="str">
        <x:v>Retirar dependencia del identificador guardado solo en navegador</x:v>
      </x:c>
      <x:c r="D46" s="52" t="str">
        <x:v>Por asignar</x:v>
      </x:c>
      <x:c r="E46" s="52" t="str">
        <x:v>19–25 oct</x:v>
      </x:c>
      <x:c r="F46" s="54" t="str"/>
      <x:c r="G46" s="52" t="str">
        <x:v>Pendiente</x:v>
      </x:c>
      <x:c r="H46" s="52" t="str">
        <x:v>Prueba de reapertura de sesión</x:v>
      </x:c>
    </x:row>
    <x:row r="47" ht="35" customHeight="1">
      <x:c r="A47" s="52" t="str"/>
      <x:c r="B47" s="52" t="str">
        <x:v>S5</x:v>
      </x:c>
      <x:c r="C47" s="52" t="str">
        <x:v>Probar revisiones múltiples y accesos no autorizados</x:v>
      </x:c>
      <x:c r="D47" s="52" t="str">
        <x:v>Por asignar</x:v>
      </x:c>
      <x:c r="E47" s="52" t="str">
        <x:v>19–25 oct</x:v>
      </x:c>
      <x:c r="F47" s="54" t="str"/>
      <x:c r="G47" s="52" t="str">
        <x:v>Pendiente</x:v>
      </x:c>
      <x:c r="H47" s="52" t="str">
        <x:v>Pruebas funcionales</x:v>
      </x:c>
    </x:row>
    <x:row r="48" ht="48" customHeight="1">
      <x:c r="A48" s="60" t="str">
        <x:v>Dockerizar el proyecto</x:v>
      </x:c>
      <x:c r="B48" s="56" t="str">
        <x:v>S6</x:v>
      </x:c>
      <x:c r="C48" s="56" t="str">
        <x:v>Definir imágenes/servicios y variables necesarios</x:v>
      </x:c>
      <x:c r="D48" s="56" t="str">
        <x:v>Equipo</x:v>
      </x:c>
      <x:c r="E48" s="56" t="str">
        <x:v>26 oct–1 nov</x:v>
      </x:c>
      <x:c r="F48" s="57" t="str"/>
      <x:c r="G48" s="56" t="str">
        <x:v>Pendiente</x:v>
      </x:c>
      <x:c r="H48" s="56" t="str">
        <x:v>Arquitectura Docker</x:v>
      </x:c>
    </x:row>
    <x:row r="49" ht="35" customHeight="1">
      <x:c r="A49" s="52" t="str"/>
      <x:c r="B49" s="52" t="str">
        <x:v>S6</x:v>
      </x:c>
      <x:c r="C49" s="52" t="str">
        <x:v>Preparar y verificar Dockerfile de frontend y backend</x:v>
      </x:c>
      <x:c r="D49" s="52" t="str">
        <x:v>Equipo</x:v>
      </x:c>
      <x:c r="E49" s="52" t="str">
        <x:v>26 oct–1 nov</x:v>
      </x:c>
      <x:c r="F49" s="54" t="str"/>
      <x:c r="G49" s="52" t="str">
        <x:v>Pendiente</x:v>
      </x:c>
      <x:c r="H49" s="52" t="str">
        <x:v>Builds de contenedores</x:v>
      </x:c>
    </x:row>
    <x:row r="50" ht="35" customHeight="1">
      <x:c r="A50" s="52" t="str"/>
      <x:c r="B50" s="52" t="str">
        <x:v>S6</x:v>
      </x:c>
      <x:c r="C50" s="52" t="str">
        <x:v>Configurar docker-compose y red entre servicios</x:v>
      </x:c>
      <x:c r="D50" s="52" t="str">
        <x:v>Equipo</x:v>
      </x:c>
      <x:c r="E50" s="52" t="str">
        <x:v>26 oct–1 nov</x:v>
      </x:c>
      <x:c r="F50" s="54" t="str"/>
      <x:c r="G50" s="52" t="str">
        <x:v>Pendiente</x:v>
      </x:c>
      <x:c r="H50" s="52" t="str">
        <x:v>Archivo compose validado</x:v>
      </x:c>
    </x:row>
    <x:row r="51" ht="35" customHeight="1">
      <x:c r="A51" s="52" t="str"/>
      <x:c r="B51" s="52" t="str">
        <x:v>S6</x:v>
      </x:c>
      <x:c r="C51" s="52" t="str">
        <x:v>Configurar base de datos y migraciones en contenedores</x:v>
      </x:c>
      <x:c r="D51" s="52" t="str">
        <x:v>Equipo</x:v>
      </x:c>
      <x:c r="E51" s="52" t="str">
        <x:v>26 oct–1 nov</x:v>
      </x:c>
      <x:c r="F51" s="54" t="str"/>
      <x:c r="G51" s="52" t="str">
        <x:v>Pendiente</x:v>
      </x:c>
      <x:c r="H51" s="52" t="str">
        <x:v>Logs de arranque y migraciones</x:v>
      </x:c>
    </x:row>
    <x:row r="52" ht="35" customHeight="1">
      <x:c r="A52" s="52" t="str"/>
      <x:c r="B52" s="52" t="str">
        <x:v>S6</x:v>
      </x:c>
      <x:c r="C52" s="52" t="str">
        <x:v>Levantar proyecto completo y ejecutar smoke test</x:v>
      </x:c>
      <x:c r="D52" s="52" t="str">
        <x:v>Equipo</x:v>
      </x:c>
      <x:c r="E52" s="52" t="str">
        <x:v>26 oct–1 nov</x:v>
      </x:c>
      <x:c r="F52" s="54" t="str"/>
      <x:c r="G52" s="52" t="str">
        <x:v>Pendiente</x:v>
      </x:c>
      <x:c r="H52" s="52" t="str">
        <x:v>Salida docker compose up y pruebas</x:v>
      </x:c>
    </x:row>
    <x:row r="53" ht="48" customHeight="1">
      <x:c r="A53" s="94" t="str">
        <x:v>Panel de consultor (revisión, puntajes, evidencias)</x:v>
      </x:c>
      <x:c r="B53" s="90" t="str">
        <x:v>S8–S9</x:v>
      </x:c>
      <x:c r="C53" s="90" t="str">
        <x:v>Integrar asignación de clientes del equipo Administración</x:v>
      </x:c>
      <x:c r="D53" s="90" t="str">
        <x:v>Equipos App/Admin</x:v>
      </x:c>
      <x:c r="E53" s="90" t="str">
        <x:v>9–22 nov</x:v>
      </x:c>
      <x:c r="F53" s="91" t="str"/>
      <x:c r="G53" s="90" t="str">
        <x:v>Pendiente</x:v>
      </x:c>
      <x:c r="H53" s="90" t="str">
        <x:v>Contrato de asignaciones</x:v>
      </x:c>
    </x:row>
    <x:row r="54" ht="35" customHeight="1">
      <x:c r="A54" s="52" t="str"/>
      <x:c r="B54" s="52" t="str">
        <x:v>S8–S9</x:v>
      </x:c>
      <x:c r="C54" s="52" t="str">
        <x:v>Restringir panel y API a clientes asignados</x:v>
      </x:c>
      <x:c r="D54" s="52" t="str">
        <x:v>Por asignar</x:v>
      </x:c>
      <x:c r="E54" s="52" t="str">
        <x:v>9–22 nov</x:v>
      </x:c>
      <x:c r="F54" s="54" t="str"/>
      <x:c r="G54" s="52" t="str">
        <x:v>Pendiente</x:v>
      </x:c>
      <x:c r="H54" s="52" t="str">
        <x:v>Prueba de permisos APP-20</x:v>
      </x:c>
    </x:row>
    <x:row r="55" ht="35" customHeight="1">
      <x:c r="A55" s="52" t="str"/>
      <x:c r="B55" s="52" t="str">
        <x:v>S8–S9</x:v>
      </x:c>
      <x:c r="C55" s="52" t="str">
        <x:v>Implementar edición de revisión por capítulo</x:v>
      </x:c>
      <x:c r="D55" s="52" t="str">
        <x:v>Por asignar</x:v>
      </x:c>
      <x:c r="E55" s="52" t="str">
        <x:v>9–22 nov</x:v>
      </x:c>
      <x:c r="F55" s="54" t="str"/>
      <x:c r="G55" s="52" t="str">
        <x:v>Pendiente</x:v>
      </x:c>
      <x:c r="H55" s="52" t="str">
        <x:v>Prueba de guardado</x:v>
      </x:c>
    </x:row>
    <x:row r="56" ht="35" customHeight="1">
      <x:c r="A56" s="52" t="str"/>
      <x:c r="B56" s="52" t="str">
        <x:v>S8–S9</x:v>
      </x:c>
      <x:c r="C56" s="52" t="str">
        <x:v>Guardar puntajes corregidos separados de puntajes originales</x:v>
      </x:c>
      <x:c r="D56" s="52" t="str">
        <x:v>Por asignar</x:v>
      </x:c>
      <x:c r="E56" s="52" t="str">
        <x:v>9–22 nov</x:v>
      </x:c>
      <x:c r="F56" s="54" t="str"/>
      <x:c r="G56" s="52" t="str">
        <x:v>Pendiente</x:v>
      </x:c>
      <x:c r="H56" s="52" t="str">
        <x:v>Prueba de integridad y comparativa</x:v>
      </x:c>
    </x:row>
    <x:row r="57" ht="35" customHeight="1">
      <x:c r="A57" s="52" t="str"/>
      <x:c r="B57" s="52" t="str">
        <x:v>S8–S9</x:v>
      </x:c>
      <x:c r="C57" s="52" t="str">
        <x:v>Permitir acceso a evidencias de clientes asignados</x:v>
      </x:c>
      <x:c r="D57" s="52" t="str">
        <x:v>Por asignar</x:v>
      </x:c>
      <x:c r="E57" s="52" t="str">
        <x:v>9–22 nov</x:v>
      </x:c>
      <x:c r="F57" s="54" t="str"/>
      <x:c r="G57" s="52" t="str">
        <x:v>Pendiente</x:v>
      </x:c>
      <x:c r="H57" s="52" t="str">
        <x:v>Prueba de descarga y permisos</x:v>
      </x:c>
    </x:row>
    <x:row r="58" ht="35" customHeight="1">
      <x:c r="A58" s="52" t="str"/>
      <x:c r="B58" s="52" t="str">
        <x:v>S8–S9</x:v>
      </x:c>
      <x:c r="C58" s="52" t="str">
        <x:v>Integrar recomendaciones y adjuntos a la vista del cliente</x:v>
      </x:c>
      <x:c r="D58" s="52" t="str">
        <x:v>Por asignar</x:v>
      </x:c>
      <x:c r="E58" s="52" t="str">
        <x:v>9–22 nov</x:v>
      </x:c>
      <x:c r="F58" s="54" t="str"/>
      <x:c r="G58" s="52" t="str">
        <x:v>Pendiente</x:v>
      </x:c>
      <x:c r="H58" s="52" t="str">
        <x:v>Capturas y pruebas de recorrido</x:v>
      </x:c>
    </x:row>
    <x:row r="59" ht="48" customHeight="1">
      <x:c r="A59" s="106" t="str">
        <x:v>PDF con marca real de la organización</x:v>
      </x:c>
      <x:c r="B59" s="102" t="str">
        <x:v>S8</x:v>
      </x:c>
      <x:c r="C59" s="102" t="str">
        <x:v>Recuperar nombre y logo real de la organización</x:v>
      </x:c>
      <x:c r="D59" s="102" t="str">
        <x:v>Por asignar</x:v>
      </x:c>
      <x:c r="E59" s="102" t="str">
        <x:v>9–15 nov</x:v>
      </x:c>
      <x:c r="F59" s="103" t="str"/>
      <x:c r="G59" s="102" t="str">
        <x:v>Pendiente</x:v>
      </x:c>
      <x:c r="H59" s="102" t="str">
        <x:v>Respuesta API</x:v>
      </x:c>
    </x:row>
    <x:row r="60" ht="35" customHeight="1">
      <x:c r="A60" s="52" t="str"/>
      <x:c r="B60" s="52" t="str">
        <x:v>S8</x:v>
      </x:c>
      <x:c r="C60" s="52" t="str">
        <x:v>Aplicar personalización al generador de PDF</x:v>
      </x:c>
      <x:c r="D60" s="52" t="str">
        <x:v>Por asignar</x:v>
      </x:c>
      <x:c r="E60" s="52" t="str">
        <x:v>9–15 nov</x:v>
      </x:c>
      <x:c r="F60" s="54" t="str"/>
      <x:c r="G60" s="52" t="str">
        <x:v>Pendiente</x:v>
      </x:c>
      <x:c r="H60" s="52" t="str">
        <x:v>Documento generado</x:v>
      </x:c>
    </x:row>
    <x:row r="61" ht="35" customHeight="1">
      <x:c r="A61" s="52" t="str"/>
      <x:c r="B61" s="52" t="str">
        <x:v>S8</x:v>
      </x:c>
      <x:c r="C61" s="52" t="str">
        <x:v>Cargar generador únicamente al acceder a resultados</x:v>
      </x:c>
      <x:c r="D61" s="52" t="str">
        <x:v>Por asignar</x:v>
      </x:c>
      <x:c r="E61" s="52" t="str">
        <x:v>9–15 nov</x:v>
      </x:c>
      <x:c r="F61" s="54" t="str"/>
      <x:c r="G61" s="52" t="str">
        <x:v>Pendiente</x:v>
      </x:c>
      <x:c r="H61" s="52" t="str">
        <x:v>Comprobación de carga diferida</x:v>
      </x:c>
    </x:row>
    <x:row r="62" ht="35" customHeight="1">
      <x:c r="A62" s="52" t="str"/>
      <x:c r="B62" s="52" t="str">
        <x:v>S8</x:v>
      </x:c>
      <x:c r="C62" s="52" t="str">
        <x:v>Validar contenido, traducciones y descarga del informe</x:v>
      </x:c>
      <x:c r="D62" s="52" t="str">
        <x:v>Por asignar</x:v>
      </x:c>
      <x:c r="E62" s="52" t="str">
        <x:v>9–15 nov</x:v>
      </x:c>
      <x:c r="F62" s="54" t="str"/>
      <x:c r="G62" s="52" t="str">
        <x:v>Pendiente</x:v>
      </x:c>
      <x:c r="H62" s="52" t="str">
        <x:v>PDF de prueba por idioma</x:v>
      </x:c>
    </x:row>
    <x:row r="63" ht="48" customHeight="1">
      <x:c r="A63" s="112" t="str">
        <x:v>Testing (funcional, integración, seguridad, usabilidad)</x:v>
      </x:c>
      <x:c r="B63" s="108" t="str">
        <x:v>S9</x:v>
      </x:c>
      <x:c r="C63" s="108" t="str">
        <x:v>Diseñar matriz de pruebas a partir de criterios Must</x:v>
      </x:c>
      <x:c r="D63" s="108" t="str">
        <x:v>Equipo</x:v>
      </x:c>
      <x:c r="E63" s="108" t="str">
        <x:v>16–22 nov</x:v>
      </x:c>
      <x:c r="F63" s="109" t="str"/>
      <x:c r="G63" s="108" t="str">
        <x:v>Pendiente</x:v>
      </x:c>
      <x:c r="H63" s="108" t="str">
        <x:v>Matriz de casos de prueba</x:v>
      </x:c>
    </x:row>
    <x:row r="64" ht="35" customHeight="1">
      <x:c r="A64" s="52" t="str"/>
      <x:c r="B64" s="52" t="str">
        <x:v>S9</x:v>
      </x:c>
      <x:c r="C64" s="52" t="str">
        <x:v>Ejecutar pruebas funcionales del recorrido cliente</x:v>
      </x:c>
      <x:c r="D64" s="52" t="str">
        <x:v>Equipo</x:v>
      </x:c>
      <x:c r="E64" s="52" t="str">
        <x:v>16–22 nov</x:v>
      </x:c>
      <x:c r="F64" s="54" t="str"/>
      <x:c r="G64" s="52" t="str">
        <x:v>Pendiente</x:v>
      </x:c>
      <x:c r="H64" s="52" t="str">
        <x:v>Registro de casos y capturas</x:v>
      </x:c>
    </x:row>
    <x:row r="65" ht="35" customHeight="1">
      <x:c r="A65" s="52" t="str"/>
      <x:c r="B65" s="52" t="str">
        <x:v>S9</x:v>
      </x:c>
      <x:c r="C65" s="52" t="str">
        <x:v>Probar endpoints e integración frontend/backend/BD</x:v>
      </x:c>
      <x:c r="D65" s="52" t="str">
        <x:v>Equipo</x:v>
      </x:c>
      <x:c r="E65" s="52" t="str">
        <x:v>16–22 nov</x:v>
      </x:c>
      <x:c r="F65" s="54" t="str"/>
      <x:c r="G65" s="52" t="str">
        <x:v>Pendiente</x:v>
      </x:c>
      <x:c r="H65" s="52" t="str">
        <x:v>Evidencias de API e integración</x:v>
      </x:c>
    </x:row>
    <x:row r="66" ht="35" customHeight="1">
      <x:c r="A66" s="52" t="str"/>
      <x:c r="B66" s="52" t="str">
        <x:v>S9</x:v>
      </x:c>
      <x:c r="C66" s="52" t="str">
        <x:v>Probar roles y aislamiento multi-tenant</x:v>
      </x:c>
      <x:c r="D66" s="52" t="str">
        <x:v>Equipo</x:v>
      </x:c>
      <x:c r="E66" s="52" t="str">
        <x:v>16–22 nov</x:v>
      </x:c>
      <x:c r="F66" s="54" t="str"/>
      <x:c r="G66" s="52" t="str">
        <x:v>Pendiente</x:v>
      </x:c>
      <x:c r="H66" s="52" t="str">
        <x:v>Pruebas negativas de acceso</x:v>
      </x:c>
    </x:row>
    <x:row r="67" ht="35" customHeight="1">
      <x:c r="A67" s="52" t="str"/>
      <x:c r="B67" s="52" t="str">
        <x:v>S9</x:v>
      </x:c>
      <x:c r="C67" s="52" t="str">
        <x:v>Realizar pruebas responsive y de usabilidad</x:v>
      </x:c>
      <x:c r="D67" s="52" t="str">
        <x:v>Equipo</x:v>
      </x:c>
      <x:c r="E67" s="52" t="str">
        <x:v>16–22 nov</x:v>
      </x:c>
      <x:c r="F67" s="54" t="str"/>
      <x:c r="G67" s="52" t="str">
        <x:v>Pendiente</x:v>
      </x:c>
      <x:c r="H67" s="52" t="str">
        <x:v>Capturas y observaciones</x:v>
      </x:c>
    </x:row>
    <x:row r="68" ht="35" customHeight="1">
      <x:c r="A68" s="52" t="str"/>
      <x:c r="B68" s="52" t="str">
        <x:v>S9</x:v>
      </x:c>
      <x:c r="C68" s="52" t="str">
        <x:v>Registrar defectos, severidad y resultados de regresión</x:v>
      </x:c>
      <x:c r="D68" s="52" t="str">
        <x:v>Equipo</x:v>
      </x:c>
      <x:c r="E68" s="52" t="str">
        <x:v>16–22 nov</x:v>
      </x:c>
      <x:c r="F68" s="54" t="str"/>
      <x:c r="G68" s="52" t="str">
        <x:v>Pendiente</x:v>
      </x:c>
      <x:c r="H68" s="52" t="str">
        <x:v>Tablero de defectos</x:v>
      </x:c>
    </x:row>
    <x:row r="69" ht="48" customHeight="1">
      <x:c r="A69" s="112" t="str">
        <x:v>Corrección de defectos y pulido final</x:v>
      </x:c>
      <x:c r="B69" s="108" t="str">
        <x:v>S10</x:v>
      </x:c>
      <x:c r="C69" s="108" t="str">
        <x:v>Priorizar defectos abiertos tras testing</x:v>
      </x:c>
      <x:c r="D69" s="108" t="str">
        <x:v>Equipo</x:v>
      </x:c>
      <x:c r="E69" s="108" t="str">
        <x:v>23–29 nov</x:v>
      </x:c>
      <x:c r="F69" s="109" t="str"/>
      <x:c r="G69" s="108" t="str">
        <x:v>Pendiente</x:v>
      </x:c>
      <x:c r="H69" s="108" t="str">
        <x:v>Backlog priorizado</x:v>
      </x:c>
    </x:row>
    <x:row r="70" ht="35" customHeight="1">
      <x:c r="A70" s="52" t="str"/>
      <x:c r="B70" s="52" t="str">
        <x:v>S10</x:v>
      </x:c>
      <x:c r="C70" s="52" t="str">
        <x:v>Corregir errores de funcionalidad e integración</x:v>
      </x:c>
      <x:c r="D70" s="52" t="str">
        <x:v>Equipo</x:v>
      </x:c>
      <x:c r="E70" s="52" t="str">
        <x:v>23–29 nov</x:v>
      </x:c>
      <x:c r="F70" s="54" t="str"/>
      <x:c r="G70" s="52" t="str">
        <x:v>Pendiente</x:v>
      </x:c>
      <x:c r="H70" s="52" t="str">
        <x:v>Commits y pruebas</x:v>
      </x:c>
    </x:row>
    <x:row r="71" ht="35" customHeight="1">
      <x:c r="A71" s="52" t="str"/>
      <x:c r="B71" s="52" t="str">
        <x:v>S10</x:v>
      </x:c>
      <x:c r="C71" s="52" t="str">
        <x:v>Corregir defectos de navegación, accesibilidad y diseño</x:v>
      </x:c>
      <x:c r="D71" s="52" t="str">
        <x:v>Equipo</x:v>
      </x:c>
      <x:c r="E71" s="52" t="str">
        <x:v>23–29 nov</x:v>
      </x:c>
      <x:c r="F71" s="54" t="str"/>
      <x:c r="G71" s="52" t="str">
        <x:v>Pendiente</x:v>
      </x:c>
      <x:c r="H71" s="52" t="str">
        <x:v>Capturas antes/después</x:v>
      </x:c>
    </x:row>
    <x:row r="72" ht="35" customHeight="1">
      <x:c r="A72" s="52" t="str"/>
      <x:c r="B72" s="52" t="str">
        <x:v>S10</x:v>
      </x:c>
      <x:c r="C72" s="52" t="str">
        <x:v>Ejecutar pruebas de regresión y verificar cierre</x:v>
      </x:c>
      <x:c r="D72" s="52" t="str">
        <x:v>Equipo</x:v>
      </x:c>
      <x:c r="E72" s="52" t="str">
        <x:v>23–29 nov</x:v>
      </x:c>
      <x:c r="F72" s="54" t="str"/>
      <x:c r="G72" s="52" t="str">
        <x:v>Pendiente</x:v>
      </x:c>
      <x:c r="H72" s="52" t="str">
        <x:v>Informe de pruebas</x:v>
      </x:c>
    </x:row>
    <x:row r="73" ht="48" customHeight="1">
      <x:c r="A73" s="118" t="str">
        <x:v>Documentación técnica/usuario + informe final</x:v>
      </x:c>
      <x:c r="B73" s="114" t="str">
        <x:v>S10–S11</x:v>
      </x:c>
      <x:c r="C73" s="114" t="str">
        <x:v>Actualizar arquitectura y diagrama de despliegue</x:v>
      </x:c>
      <x:c r="D73" s="114" t="str">
        <x:v>Equipo</x:v>
      </x:c>
      <x:c r="E73" s="114" t="str">
        <x:v>23 nov–6 dic</x:v>
      </x:c>
      <x:c r="F73" s="115" t="str"/>
      <x:c r="G73" s="114" t="str">
        <x:v>Pendiente</x:v>
      </x:c>
      <x:c r="H73" s="114" t="str">
        <x:v>Diagrama final</x:v>
      </x:c>
    </x:row>
    <x:row r="74" ht="35" customHeight="1">
      <x:c r="A74" s="52" t="str"/>
      <x:c r="B74" s="52" t="str">
        <x:v>S10–S11</x:v>
      </x:c>
      <x:c r="C74" s="52" t="str">
        <x:v>Documentar instalación, configuración y variables sin secretos</x:v>
      </x:c>
      <x:c r="D74" s="52" t="str">
        <x:v>Equipo</x:v>
      </x:c>
      <x:c r="E74" s="52" t="str">
        <x:v>23 nov–6 dic</x:v>
      </x:c>
      <x:c r="F74" s="54" t="str"/>
      <x:c r="G74" s="52" t="str">
        <x:v>Pendiente</x:v>
      </x:c>
      <x:c r="H74" s="52" t="str">
        <x:v>README técnico</x:v>
      </x:c>
    </x:row>
    <x:row r="75" ht="35" customHeight="1">
      <x:c r="A75" s="52" t="str"/>
      <x:c r="B75" s="52" t="str">
        <x:v>S10–S11</x:v>
      </x:c>
      <x:c r="C75" s="52" t="str">
        <x:v>Documentar API, modelo de datos e integraciones</x:v>
      </x:c>
      <x:c r="D75" s="52" t="str">
        <x:v>Equipo</x:v>
      </x:c>
      <x:c r="E75" s="52" t="str">
        <x:v>23 nov–6 dic</x:v>
      </x:c>
      <x:c r="F75" s="54" t="str"/>
      <x:c r="G75" s="52" t="str">
        <x:v>Pendiente</x:v>
      </x:c>
      <x:c r="H75" s="52" t="str">
        <x:v>Anexos técnicos</x:v>
      </x:c>
    </x:row>
    <x:row r="76" ht="35" customHeight="1">
      <x:c r="A76" s="52" t="str"/>
      <x:c r="B76" s="52" t="str">
        <x:v>S10–S11</x:v>
      </x:c>
      <x:c r="C76" s="52" t="str">
        <x:v>Redactar manual de usuario y capturas de pantallas</x:v>
      </x:c>
      <x:c r="D76" s="52" t="str">
        <x:v>Equipo</x:v>
      </x:c>
      <x:c r="E76" s="52" t="str">
        <x:v>23 nov–6 dic</x:v>
      </x:c>
      <x:c r="F76" s="54" t="str"/>
      <x:c r="G76" s="52" t="str">
        <x:v>Pendiente</x:v>
      </x:c>
      <x:c r="H76" s="52" t="str">
        <x:v>Manual de usuario</x:v>
      </x:c>
    </x:row>
    <x:row r="77" ht="35" customHeight="1">
      <x:c r="A77" s="52" t="str"/>
      <x:c r="B77" s="52" t="str">
        <x:v>S10–S11</x:v>
      </x:c>
      <x:c r="C77" s="52" t="str">
        <x:v>Consolidar pruebas, evidencias y memoria académica final</x:v>
      </x:c>
      <x:c r="D77" s="52" t="str">
        <x:v>Equipo</x:v>
      </x:c>
      <x:c r="E77" s="52" t="str">
        <x:v>23 nov–6 dic</x:v>
      </x:c>
      <x:c r="F77" s="54" t="str"/>
      <x:c r="G77" s="52" t="str">
        <x:v>Pendiente</x:v>
      </x:c>
      <x:c r="H77" s="52" t="str">
        <x:v>Informe final</x:v>
      </x:c>
    </x:row>
    <x:row r="78" ht="48" customHeight="1">
      <x:c r="A78" s="124" t="str">
        <x:v>Entrega y presentación final</x:v>
      </x:c>
      <x:c r="B78" s="120" t="str">
        <x:v>S10</x:v>
      </x:c>
      <x:c r="C78" s="120" t="str">
        <x:v>Confirmar cumplimiento de entregables y criterios acordados</x:v>
      </x:c>
      <x:c r="D78" s="120" t="str">
        <x:v>Equipo</x:v>
      </x:c>
      <x:c r="E78" s="120" t="str">
        <x:v>23–29 nov</x:v>
      </x:c>
      <x:c r="F78" s="121" t="str"/>
      <x:c r="G78" s="120" t="str">
        <x:v>Pendiente</x:v>
      </x:c>
      <x:c r="H78" s="120" t="str">
        <x:v>Checklist de aceptación</x:v>
      </x:c>
    </x:row>
    <x:row r="79" ht="35" customHeight="1">
      <x:c r="A79" s="52" t="str"/>
      <x:c r="B79" s="52" t="str">
        <x:v>S10</x:v>
      </x:c>
      <x:c r="C79" s="52" t="str">
        <x:v>Preparar demo con cuentas y datos de prueba seguros</x:v>
      </x:c>
      <x:c r="D79" s="52" t="str">
        <x:v>Equipo</x:v>
      </x:c>
      <x:c r="E79" s="52" t="str">
        <x:v>23–29 nov</x:v>
      </x:c>
      <x:c r="F79" s="54" t="str"/>
      <x:c r="G79" s="52" t="str">
        <x:v>Pendiente</x:v>
      </x:c>
      <x:c r="H79" s="52" t="str">
        <x:v>Guion y acceso a demo</x:v>
      </x:c>
    </x:row>
    <x:row r="80" ht="35" customHeight="1">
      <x:c r="A80" s="52" t="str"/>
      <x:c r="B80" s="52" t="str">
        <x:v>S10</x:v>
      </x:c>
      <x:c r="C80" s="52" t="str">
        <x:v>Preparar presentación y distribuir exposición</x:v>
      </x:c>
      <x:c r="D80" s="52" t="str">
        <x:v>Equipo</x:v>
      </x:c>
      <x:c r="E80" s="52" t="str">
        <x:v>23–29 nov</x:v>
      </x:c>
      <x:c r="F80" s="54" t="str"/>
      <x:c r="G80" s="52" t="str">
        <x:v>Pendiente</x:v>
      </x:c>
      <x:c r="H80" s="52" t="str">
        <x:v>Presentación y guion</x:v>
      </x:c>
    </x:row>
    <x:row r="81" ht="35" customHeight="1">
      <x:c r="A81" s="52" t="str"/>
      <x:c r="B81" s="52" t="str">
        <x:v>S10</x:v>
      </x:c>
      <x:c r="C81" s="52" t="str">
        <x:v>Entregar archivos, evidencias e informe académico</x:v>
      </x:c>
      <x:c r="D81" s="52" t="str">
        <x:v>Equipo</x:v>
      </x:c>
      <x:c r="E81" s="52" t="str">
        <x:v>23–29 nov</x:v>
      </x:c>
      <x:c r="F81" s="54" t="str"/>
      <x:c r="G81" s="52" t="str">
        <x:v>Pendiente</x:v>
      </x:c>
      <x:c r="H81" s="52" t="str">
        <x:v>Comprobante de entrega</x:v>
      </x:c>
    </x:row>
    <x:row r="82" ht="48" customHeight="1">
      <x:c r="A82" s="124" t="str">
        <x:v>Ajustes finales / reentrega si corresponde</x:v>
      </x:c>
      <x:c r="B82" s="120" t="str">
        <x:v>S11</x:v>
      </x:c>
      <x:c r="C82" s="120" t="str">
        <x:v>Recopilar observaciones de la evaluación</x:v>
      </x:c>
      <x:c r="D82" s="120" t="str">
        <x:v>Equipo</x:v>
      </x:c>
      <x:c r="E82" s="120" t="str">
        <x:v>30 nov–6 dic</x:v>
      </x:c>
      <x:c r="F82" s="121" t="str"/>
      <x:c r="G82" s="120" t="str">
        <x:v>Pendiente</x:v>
      </x:c>
      <x:c r="H82" s="120" t="str">
        <x:v>Acta/rúbrica de observaciones</x:v>
      </x:c>
    </x:row>
    <x:row r="83" ht="35" customHeight="1">
      <x:c r="A83" s="52" t="str"/>
      <x:c r="B83" s="52" t="str">
        <x:v>S11</x:v>
      </x:c>
      <x:c r="C83" s="52" t="str">
        <x:v>Clasificar cambios solicitados y asignar responsables</x:v>
      </x:c>
      <x:c r="D83" s="52" t="str">
        <x:v>Equipo</x:v>
      </x:c>
      <x:c r="E83" s="52" t="str">
        <x:v>30 nov–6 dic</x:v>
      </x:c>
      <x:c r="F83" s="54" t="str"/>
      <x:c r="G83" s="52" t="str">
        <x:v>Pendiente</x:v>
      </x:c>
      <x:c r="H83" s="52" t="str">
        <x:v>Backlog de ajustes</x:v>
      </x:c>
    </x:row>
    <x:row r="84" ht="35" customHeight="1">
      <x:c r="A84" s="52" t="str"/>
      <x:c r="B84" s="52" t="str">
        <x:v>S11</x:v>
      </x:c>
      <x:c r="C84" s="52" t="str">
        <x:v>Implementar ajustes requeridos y volver a probar</x:v>
      </x:c>
      <x:c r="D84" s="52" t="str">
        <x:v>Equipo</x:v>
      </x:c>
      <x:c r="E84" s="52" t="str">
        <x:v>30 nov–6 dic</x:v>
      </x:c>
      <x:c r="F84" s="54" t="str"/>
      <x:c r="G84" s="52" t="str">
        <x:v>Pendiente</x:v>
      </x:c>
      <x:c r="H84" s="52" t="str">
        <x:v>Commits y pruebas de regresión</x:v>
      </x:c>
    </x:row>
    <x:row r="85" ht="35" customHeight="1">
      <x:c r="A85" s="52" t="str"/>
      <x:c r="B85" s="52" t="str">
        <x:v>S11</x:v>
      </x:c>
      <x:c r="C85" s="52" t="str">
        <x:v>Actualizar documentos y reentregar si corresponde</x:v>
      </x:c>
      <x:c r="D85" s="52" t="str">
        <x:v>Equipo</x:v>
      </x:c>
      <x:c r="E85" s="52" t="str">
        <x:v>30 nov–6 dic</x:v>
      </x:c>
      <x:c r="F85" s="54" t="str"/>
      <x:c r="G85" s="52" t="str">
        <x:v>Pendiente</x:v>
      </x:c>
      <x:c r="H85" s="52" t="str">
        <x:v>Versión y comprobante final</x:v>
      </x:c>
    </x:row>
  </x:sheetData>
  <x:mergeCells>
    <x:mergeCell ref="A1:H1"/>
    <x:mergeCell ref="A2:H2"/>
  </x:mergeCells>
  <x:conditionalFormatting sqref="F6:F85">
    <x:cfRule type="dataBar" priority="1">
      <x:dataBar>
        <x:cfvo type="min"/>
        <x:cfvo type="max"/>
        <x:color rgb="FF51A8A0"/>
      </x:dataBar>
      <x:extLst>
        <x:ext xmlns:x14="http://schemas.microsoft.com/office/spreadsheetml/2009/9/main" uri="{B025F937-C7B1-47D3-B67F-A62EFF666E3E}">
          <x14:id>{0DAE103D-08B8-73F8-E21B-5738D203C3B4}</x14:id>
        </x:ext>
      </x:extLst>
    </x:cfRule>
  </x:conditionalFormatting>
  <x:dataValidations count="1">
    <x:dataValidation type="list" sqref="G6:G85">
      <x:formula1>"Pendiente,En progreso,Por verificar,Completada,Atrasada"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AE103D-08B8-73F8-E21B-5738D203C3B4}">
            <x14:dataBar gradient="1">
              <x14:cfvo type="min"/>
              <x14:cfvo type="max"/>
              <x14:fillColor rgb="FF51A8A0"/>
            </x14:dataBar>
          </x14:cfRule>
          <xm:sqref>F6:F85</xm:sqref>
        </x14:conditionalFormatting>
      </x14:conditionalFormattings>
    </x:ext>
  </x:extLst>
</x:worksheet>
</file>