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arta Gantt" sheetId="1" r:id="rId4"/>
    <sheet state="visible" name="Desglose técnico" sheetId="2" r:id="rId5"/>
  </sheets>
  <definedNames/>
  <calcPr/>
  <extLst>
    <ext uri="GoogleSheetsCustomDataVersion2">
      <go:sheetsCustomData xmlns:go="http://customooxmlschemas.google.com/" r:id="rId6" roundtripDataChecksum="poW4ocXwfp7b2sSSKF6PGU81hN04A0nYqHhwIijyTBM="/>
    </ext>
  </extLst>
</workbook>
</file>

<file path=xl/sharedStrings.xml><?xml version="1.0" encoding="utf-8"?>
<sst xmlns="http://schemas.openxmlformats.org/spreadsheetml/2006/main" count="619" uniqueCount="269">
  <si>
    <t>TRYAI GAP · EQUIPO APP | DESGLOSE TÉCNICO</t>
  </si>
  <si>
    <t>Carta Gantt — TryAI Gap (Equipo App) — 12 semanas</t>
  </si>
  <si>
    <t>Propuesta derivada de las 15 actividades de la Gantt actual. Los responsables y estados por confirmar son editables.</t>
  </si>
  <si>
    <t>21-Sep</t>
  </si>
  <si>
    <t>Actividades Gantt</t>
  </si>
  <si>
    <t>28-Sep</t>
  </si>
  <si>
    <t>05-Oct</t>
  </si>
  <si>
    <t>12-Oct</t>
  </si>
  <si>
    <t>19-Oct</t>
  </si>
  <si>
    <t>26-Oct</t>
  </si>
  <si>
    <t>Subtareas</t>
  </si>
  <si>
    <t>02-Nov</t>
  </si>
  <si>
    <t>09-Nov</t>
  </si>
  <si>
    <t>Completadas</t>
  </si>
  <si>
    <t>16-Nov</t>
  </si>
  <si>
    <t>23-Nov</t>
  </si>
  <si>
    <t>30-Nov</t>
  </si>
  <si>
    <t>Actividad</t>
  </si>
  <si>
    <t>Hito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</si>
  <si>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</si>
  <si>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</si>
  <si>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</si>
  <si>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</si>
  <si>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</si>
  <si>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</si>
  <si>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</si>
  <si>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</si>
  <si>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</si>
  <si>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</si>
  <si>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</si>
  <si>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Por verificar</t>
  </si>
  <si>
    <t>Desplegar web en Vercel + validar persistencia en BD real</t>
  </si>
  <si>
    <t>Hito 1</t>
  </si>
  <si>
    <t>X</t>
  </si>
  <si>
    <t>Actividad de la Gantt</t>
  </si>
  <si>
    <t>Sprint</t>
  </si>
  <si>
    <t>Tarea técnica</t>
  </si>
  <si>
    <t>Responsable</t>
  </si>
  <si>
    <t>Rebranding Klertech (logos, colores, textos 4 idiomas)</t>
  </si>
  <si>
    <t>Fecha planificada</t>
  </si>
  <si>
    <t>Avance %</t>
  </si>
  <si>
    <t>Estado</t>
  </si>
  <si>
    <t>Evidencia / criterio verificable</t>
  </si>
  <si>
    <t>S1–S2</t>
  </si>
  <si>
    <t>Revisar configuración de repositorio y ramas para el despliegue</t>
  </si>
  <si>
    <t>Equipo</t>
  </si>
  <si>
    <t>Login con contraseña, recuperación y 2FA</t>
  </si>
  <si>
    <t>21 sep–4 oct</t>
  </si>
  <si>
    <t>Resultados reales (radar, heatmap, matriz)</t>
  </si>
  <si>
    <t>Completada</t>
  </si>
  <si>
    <t>Repositorio y configuración de ramas</t>
  </si>
  <si>
    <t>Vista de resultado parcial (plan gratuito)</t>
  </si>
  <si>
    <t>Configurar y desplegar el frontend en Vercel</t>
  </si>
  <si>
    <t>Aceptación de invitación (endpoint + página)</t>
  </si>
  <si>
    <t>Captura de versión principal accesible en Vercel</t>
  </si>
  <si>
    <t>Listado de revisiones de un diagnóstico</t>
  </si>
  <si>
    <t>Verificar disponibilidad del backend FastAPI en Render</t>
  </si>
  <si>
    <t>Servicio desplegado y acceso al dashboard</t>
  </si>
  <si>
    <t>Dockerizar el proyecto</t>
  </si>
  <si>
    <t>Hito 2</t>
  </si>
  <si>
    <t>Comprobar conexión operativa entre frontend y API REST</t>
  </si>
  <si>
    <t>Prueba de inicio de sesión en versión desplegada</t>
  </si>
  <si>
    <t>Panel de consultor (revisión, puntajes, evidencias)</t>
  </si>
  <si>
    <t>Comprobar creación/actualización de organización desde el frontend</t>
  </si>
  <si>
    <t>Andrew</t>
  </si>
  <si>
    <t>PDF con marca real de la organización</t>
  </si>
  <si>
    <t>PATCH /organizations/{id} respondió 200 y la organización fue verificada posteriormente en PostgreSQL.</t>
  </si>
  <si>
    <t>Testing (funcional, integración, seguridad, usabilidad)</t>
  </si>
  <si>
    <t>Validar persistencia en PostgreSQL con lectura posterior de datos</t>
  </si>
  <si>
    <t>Benjamin</t>
  </si>
  <si>
    <t>Consulta directa en PostgreSQL confirma organización, usuario y assessment de prueba; SELECT COUNT(*) sobre answers devuelve 5 respuestas asociadas al assessment.</t>
  </si>
  <si>
    <t>Corrección de defectos y pulido final</t>
  </si>
  <si>
    <t>Comprobar aislamiento entre dos organizaciones de prueba</t>
  </si>
  <si>
    <t>Vicente</t>
  </si>
  <si>
    <t>Usuario de Organización B intenta consultar el assessment de Organización A mediante GET /api/v1/assessments/{id}/areas; backend responde 403 Forbidden.</t>
  </si>
  <si>
    <t>Documentación técnica/usuario + informe final</t>
  </si>
  <si>
    <t>Ejecutar prueba integral de registro, onboarding y reingreso</t>
  </si>
  <si>
    <t>Entrega y presentación final</t>
  </si>
  <si>
    <t>Flujo E2E completado: registro → creación de organización → onboarding → dashboard → 5 respuestas Free → logout → nuevo magic link → reingreso → datos recuperados correctamente.</t>
  </si>
  <si>
    <t>Hito 3 Duoc</t>
  </si>
  <si>
    <t>Corregir redirección del reingreso por enlace mágico</t>
  </si>
  <si>
    <t>Prueba local y dashboard de Vercel tras nuevo enlace</t>
  </si>
  <si>
    <t>Ajustes finales / reentrega si corresponde</t>
  </si>
  <si>
    <t>S1–S3</t>
  </si>
  <si>
    <t>Hito 3 Utem</t>
  </si>
  <si>
    <t>Fix: onboarding no espera organization_id</t>
  </si>
  <si>
    <t>22 sep–4 oct</t>
  </si>
  <si>
    <t>App Flutter (móvil) — si alcanza el tiempo</t>
  </si>
  <si>
    <t>Flujo de onboarding ejecutado correctamente sin continuar antes de disponer de organization_id; creación/actualización de organización confirmada.</t>
  </si>
  <si>
    <t>S1–S4</t>
  </si>
  <si>
    <t>Verificar endpoints APP-03, APP-04, APP-07 y APP-12</t>
  </si>
  <si>
    <t>23 sep–4 oct</t>
  </si>
  <si>
    <t>Endpoints funcionales probados por el responsable y respuestas esperadas verificadas sin errores bloqueantes.</t>
  </si>
  <si>
    <t>Leyenda:</t>
  </si>
  <si>
    <t>S1–S5</t>
  </si>
  <si>
    <t>Fix: saveProfile() falla en silencio</t>
  </si>
  <si>
    <t>24 sep–4 oct</t>
  </si>
  <si>
    <t>Error de guardado deja de ocultarse; flujo de guardado probado y comportamiento validado desde frontend/backend.</t>
  </si>
  <si>
    <t>Actividad regular</t>
  </si>
  <si>
    <t>S1–S6</t>
  </si>
  <si>
    <t>Auditar código a medio hacer</t>
  </si>
  <si>
    <t>25 sep–4 oct</t>
  </si>
  <si>
    <t>Informe de auditoría estática generado con hallazgos, archivo afectado, prioridad, impacto y acción recomendada; pendientes derivados registrados para backlog.</t>
  </si>
  <si>
    <t>Semana de Hito</t>
  </si>
  <si>
    <t>S1–S7</t>
  </si>
  <si>
    <t>QA end-to-end</t>
  </si>
  <si>
    <t>26 sep–4 oct</t>
  </si>
  <si>
    <t>Recorrido principal del MVP completado sin errores bloqueantes; persistencia verificada tras reautenticación. Se detecta únicamente desfase visual del 25% hasta recargar, registrado como bug menor.</t>
  </si>
  <si>
    <t>S2–S3</t>
  </si>
  <si>
    <t>Inventariar apariciones de la marca original en web y correos</t>
  </si>
  <si>
    <t>Por asignar</t>
  </si>
  <si>
    <t>28 sep–11 oct</t>
  </si>
  <si>
    <t>Pendiente</t>
  </si>
  <si>
    <t>Checklist de elementos afectados</t>
  </si>
  <si>
    <t>Reemplazar logotipos, favicon y elementos gráficos</t>
  </si>
  <si>
    <t>Capturas comparativas</t>
  </si>
  <si>
    <t>Aplicar paleta, tipografía y estilos oficiales de Klertech</t>
  </si>
  <si>
    <t>Comparación con guía de marca</t>
  </si>
  <si>
    <t>Actualizar textos visibles en ES/EN/DE/PT</t>
  </si>
  <si>
    <t>Comprobación por idioma</t>
  </si>
  <si>
    <t>Validar coherencia visual en rutas públicas y autenticadas</t>
  </si>
  <si>
    <t>Capturas y pruebas de navegación</t>
  </si>
  <si>
    <t>S2–S4</t>
  </si>
  <si>
    <t>Acordar contrato y reparto del requerimiento transversal TRV-04</t>
  </si>
  <si>
    <t>Equipos App/Admin</t>
  </si>
  <si>
    <t>28 sep–18 oct</t>
  </si>
  <si>
    <t>Acuerdo de API y responsabilidades</t>
  </si>
  <si>
    <t>Añadir contraseña al registro e inicio de sesión de usuarios</t>
  </si>
  <si>
    <t>Prueba de registro e inicio de sesión</t>
  </si>
  <si>
    <t>Aplicar almacenamiento seguro y verificación de contraseñas</t>
  </si>
  <si>
    <t>Prueba de validación del backend</t>
  </si>
  <si>
    <t>Implementar recuperación de contraseña por correo</t>
  </si>
  <si>
    <t>Prueba de enlace/código de recuperación</t>
  </si>
  <si>
    <t>Implementar configuración y validación de 2FA opcional por correo</t>
  </si>
  <si>
    <t>Casos con 2FA activo e inactivo</t>
  </si>
  <si>
    <t>Integrar frontend, roles y renovación de JWT</t>
  </si>
  <si>
    <t>Pruebas de rutas protegidas y sesión</t>
  </si>
  <si>
    <t>Ejecutar pruebas funcionales y de seguridad del nuevo login</t>
  </si>
  <si>
    <t>Casos positivos, negativos y regresión</t>
  </si>
  <si>
    <t>S4–S5</t>
  </si>
  <si>
    <t>Definir entradas y fórmulas a partir de respuestas reales</t>
  </si>
  <si>
    <t>12–25 oct</t>
  </si>
  <si>
    <t>Documento de reglas de cálculo</t>
  </si>
  <si>
    <t>Implementar cálculo de madurez y puntajes por dimensión</t>
  </si>
  <si>
    <t>Resultados contrastados con datos de prueba</t>
  </si>
  <si>
    <t>Implementar datos reales para heatmap de áreas</t>
  </si>
  <si>
    <t>Comparación de API y visualización</t>
  </si>
  <si>
    <t>Implementar matriz Pain × Readiness y priorización</t>
  </si>
  <si>
    <t>Escenarios de prueba con resultados esperados</t>
  </si>
  <si>
    <t>Conectar gráficos del frontend a endpoints reales</t>
  </si>
  <si>
    <t>Capturas y respuestas API</t>
  </si>
  <si>
    <t>Comprobar actualización de resultados al cambiar respuestas</t>
  </si>
  <si>
    <t>Pruebas de consistencia</t>
  </si>
  <si>
    <t>Definir información visible para el usuario gratuito</t>
  </si>
  <si>
    <t>Diseño y reglas de negocio</t>
  </si>
  <si>
    <t>Implementar endpoint o respuesta para resultados parciales</t>
  </si>
  <si>
    <t>Contrato API</t>
  </si>
  <si>
    <t>Diseñar vista parcial y enlace hacia cotización/pago</t>
  </si>
  <si>
    <t>Capturas de la interfaz</t>
  </si>
  <si>
    <t>Validar restricciones del plan gratuito en operaciones individuales y lote</t>
  </si>
  <si>
    <t>Pruebas de límite y control de acceso</t>
  </si>
  <si>
    <t>Probar transición de Free a Pro sin pérdida de resultados</t>
  </si>
  <si>
    <t>Prueba funcional</t>
  </si>
  <si>
    <t>Definir estructura y caducidad del token de invitación</t>
  </si>
  <si>
    <t>19–25 oct</t>
  </si>
  <si>
    <t>Contrato de invitaciones</t>
  </si>
  <si>
    <t>Implementar endpoint de aceptación de invitación</t>
  </si>
  <si>
    <t>Prueba de API</t>
  </si>
  <si>
    <t>Construir página /invite/:token y definición de contraseña</t>
  </si>
  <si>
    <t>Captura del flujo</t>
  </si>
  <si>
    <t>Activar miembro y asociarlo a su organización/área</t>
  </si>
  <si>
    <t>Comprobación de registro en BD</t>
  </si>
  <si>
    <t>Probar token inválido, usado, vencido y válido</t>
  </si>
  <si>
    <t>Casos de prueba</t>
  </si>
  <si>
    <t>Definir permisos y respuesta de listado por diagnóstico</t>
  </si>
  <si>
    <t>Contrato de endpoint</t>
  </si>
  <si>
    <t>Implementar endpoint de revisiones filtrado por organización</t>
  </si>
  <si>
    <t>Prueba de API y tenant</t>
  </si>
  <si>
    <t>Construir listado con estado y detalle de solicitudes</t>
  </si>
  <si>
    <t>Capturas de interfaz</t>
  </si>
  <si>
    <t>Retirar dependencia del identificador guardado solo en navegador</t>
  </si>
  <si>
    <t>Prueba de reapertura de sesión</t>
  </si>
  <si>
    <t>Probar revisiones múltiples y accesos no autorizados</t>
  </si>
  <si>
    <t>Pruebas funcionales</t>
  </si>
  <si>
    <t>Definir imágenes/servicios y variables necesarios</t>
  </si>
  <si>
    <t>26 oct–1 nov</t>
  </si>
  <si>
    <t>Arquitectura Docker</t>
  </si>
  <si>
    <t>Preparar y verificar Dockerfile de frontend y backend</t>
  </si>
  <si>
    <t>Builds de contenedores</t>
  </si>
  <si>
    <t>Configurar docker-compose y red entre servicios</t>
  </si>
  <si>
    <t>Archivo compose validado</t>
  </si>
  <si>
    <t>Configurar base de datos y migraciones en contenedores</t>
  </si>
  <si>
    <t>Logs de arranque y migraciones</t>
  </si>
  <si>
    <t>Levantar proyecto completo y ejecutar smoke test</t>
  </si>
  <si>
    <t>Salida docker compose up y pruebas</t>
  </si>
  <si>
    <t>S8–S9</t>
  </si>
  <si>
    <t>Integrar asignación de clientes del equipo Administración</t>
  </si>
  <si>
    <t>9–22 nov</t>
  </si>
  <si>
    <t>Contrato de asignaciones</t>
  </si>
  <si>
    <t>Restringir panel y API a clientes asignados</t>
  </si>
  <si>
    <t>Prueba de permisos APP-20</t>
  </si>
  <si>
    <t>Implementar edición de revisión por capítulo</t>
  </si>
  <si>
    <t>Prueba de guardado</t>
  </si>
  <si>
    <t>Guardar puntajes corregidos separados de puntajes originales</t>
  </si>
  <si>
    <t>Prueba de integridad y comparativa</t>
  </si>
  <si>
    <t>Permitir acceso a evidencias de clientes asignados</t>
  </si>
  <si>
    <t>Prueba de descarga y permisos</t>
  </si>
  <si>
    <t>Integrar recomendaciones y adjuntos a la vista del cliente</t>
  </si>
  <si>
    <t>Capturas y pruebas de recorrido</t>
  </si>
  <si>
    <t>Recuperar nombre y logo real de la organización</t>
  </si>
  <si>
    <t>9–15 nov</t>
  </si>
  <si>
    <t>Respuesta API</t>
  </si>
  <si>
    <t>Aplicar personalización al generador de PDF</t>
  </si>
  <si>
    <t>Documento generado</t>
  </si>
  <si>
    <t>Cargar generador únicamente al acceder a resultados</t>
  </si>
  <si>
    <t>Comprobación de carga diferida</t>
  </si>
  <si>
    <t>Validar contenido, traducciones y descarga del informe</t>
  </si>
  <si>
    <t>PDF de prueba por idioma</t>
  </si>
  <si>
    <t>Diseñar matriz de pruebas a partir de criterios Must</t>
  </si>
  <si>
    <t>16–22 nov</t>
  </si>
  <si>
    <t>Matriz de casos de prueba</t>
  </si>
  <si>
    <t>Ejecutar pruebas funcionales del recorrido cliente</t>
  </si>
  <si>
    <t>Registro de casos y capturas</t>
  </si>
  <si>
    <t>Probar endpoints e integración frontend/backend/BD</t>
  </si>
  <si>
    <t>Evidencias de API e integración</t>
  </si>
  <si>
    <t>Probar roles y aislamiento multi-tenant</t>
  </si>
  <si>
    <t>Pruebas negativas de acceso</t>
  </si>
  <si>
    <t>Realizar pruebas responsive y de usabilidad</t>
  </si>
  <si>
    <t>Capturas y observaciones</t>
  </si>
  <si>
    <t>Registrar defectos, severidad y resultados de regresión</t>
  </si>
  <si>
    <t>Tablero de defectos</t>
  </si>
  <si>
    <t>Priorizar defectos abiertos tras testing</t>
  </si>
  <si>
    <t>23–29 nov</t>
  </si>
  <si>
    <t>Backlog priorizado</t>
  </si>
  <si>
    <t>Corregir errores de funcionalidad e integración</t>
  </si>
  <si>
    <t>Commits y pruebas</t>
  </si>
  <si>
    <t>Corregir defectos de navegación, accesibilidad y diseño</t>
  </si>
  <si>
    <t>Capturas antes/después</t>
  </si>
  <si>
    <t>Ejecutar pruebas de regresión y verificar cierre</t>
  </si>
  <si>
    <t>Informe de pruebas</t>
  </si>
  <si>
    <t>S10–S11</t>
  </si>
  <si>
    <t>Actualizar arquitectura y diagrama de despliegue</t>
  </si>
  <si>
    <t>23 nov–6 dic</t>
  </si>
  <si>
    <t>Diagrama final</t>
  </si>
  <si>
    <t>Documentar instalación, configuración y variables sin secretos</t>
  </si>
  <si>
    <t>README técnico</t>
  </si>
  <si>
    <t>Documentar API, modelo de datos e integraciones</t>
  </si>
  <si>
    <t>Anexos técnicos</t>
  </si>
  <si>
    <t>Redactar manual de usuario y capturas de pantallas</t>
  </si>
  <si>
    <t>Manual de usuario</t>
  </si>
  <si>
    <t>Consolidar pruebas, evidencias y memoria académica final</t>
  </si>
  <si>
    <t>Informe final</t>
  </si>
  <si>
    <t>Confirmar cumplimiento de entregables y criterios acordados</t>
  </si>
  <si>
    <t>Checklist de aceptación</t>
  </si>
  <si>
    <t>Preparar demo con cuentas y datos de prueba seguros</t>
  </si>
  <si>
    <t>Guion y acceso a demo</t>
  </si>
  <si>
    <t>Preparar presentación y distribuir exposición</t>
  </si>
  <si>
    <t>Presentación y guion</t>
  </si>
  <si>
    <t>Entregar archivos, evidencias e informe académico</t>
  </si>
  <si>
    <t>Comprobante de entrega</t>
  </si>
  <si>
    <t>Recopilar observaciones de la evaluación</t>
  </si>
  <si>
    <t>30 nov–6 dic</t>
  </si>
  <si>
    <t>Acta/rúbrica de observaciones</t>
  </si>
  <si>
    <t>Clasificar cambios solicitados y asignar responsables</t>
  </si>
  <si>
    <t>Backlog de ajustes</t>
  </si>
  <si>
    <t>Implementar ajustes requeridos y volver a probar</t>
  </si>
  <si>
    <t>Commits y pruebas de regresión</t>
  </si>
  <si>
    <t>Actualizar documentos y reentregar si corresponde</t>
  </si>
  <si>
    <t>Versión y comprobante final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</si>
</sst>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&quot;%&quot;"/>
  </numFmts>
  <fonts count="13">
    <font>
      <sz val="11.0"/>
      <color theme="1"/>
      <name val="Calibri"/>
      <scheme val="minor"/>
    </font>
    <font>
      <b/>
      <sz val="16.0"/>
      <color rgb="FFFFFFFF"/>
      <name val="Calibri"/>
    </font>
    <font>
      <b/>
      <sz val="14.0"/>
      <color theme="1"/>
      <name val="Arial"/>
    </font>
    <font>
      <sz val="10.0"/>
      <color rgb="FF17394E"/>
      <name val="Calibri"/>
    </font>
    <font>
      <i/>
      <sz val="8.0"/>
      <color theme="1"/>
      <name val="Arial"/>
    </font>
    <font>
      <b/>
      <sz val="11.0"/>
      <color rgb="FF19394A"/>
      <name val="Calibri"/>
    </font>
    <font>
      <b/>
      <sz val="10.0"/>
      <color rgb="FF000000"/>
      <name val="Arial"/>
    </font>
    <font>
      <sz val="10.0"/>
      <color theme="1"/>
      <name val="Arial"/>
    </font>
    <font>
      <b/>
      <sz val="10.0"/>
      <color theme="1"/>
      <name val="Arial"/>
    </font>
    <font>
      <sz val="11.0"/>
      <color theme="1"/>
      <name val="Calibri"/>
    </font>
    <font>
      <b/>
      <sz val="11.0"/>
      <color rgb="FFFFFFFF"/>
      <name val="Calibri"/>
    </font>
    <font>
      <b/>
      <sz val="11.0"/>
      <color theme="1"/>
      <name val="Calibri"/>
    </font>
    <font>
      <sz val="11.0"/>
      <color rgb="FF000000"/>
      <name val="Calibri"/>
    </font>
  </fonts>
  <fills count="21">
    <fill>
      <patternFill patternType="none"/>
    </fill>
    <fill>
      <patternFill patternType="lightGray"/>
    </fill>
    <fill>
      <patternFill patternType="solid">
        <fgColor rgb="FF122D40"/>
        <bgColor rgb="FF122D40"/>
      </patternFill>
    </fill>
    <fill>
      <patternFill patternType="solid">
        <fgColor rgb="FFE5F1F2"/>
        <bgColor rgb="FFE5F1F2"/>
      </patternFill>
    </fill>
    <fill>
      <patternFill patternType="solid">
        <fgColor rgb="FFEAF0F6"/>
        <bgColor rgb="FFEAF0F6"/>
      </patternFill>
    </fill>
    <fill>
      <patternFill patternType="solid">
        <fgColor rgb="FFD9D9D9"/>
        <bgColor rgb="FFD9D9D9"/>
      </patternFill>
    </fill>
    <fill>
      <patternFill patternType="solid">
        <fgColor rgb="FF808080"/>
        <bgColor rgb="FF808080"/>
      </patternFill>
    </fill>
    <fill>
      <patternFill patternType="solid">
        <fgColor rgb="FF15384B"/>
        <bgColor rgb="FF15384B"/>
      </patternFill>
    </fill>
    <fill>
      <patternFill patternType="solid">
        <fgColor rgb="FFBFBFBF"/>
        <bgColor rgb="FFBFBFBF"/>
      </patternFill>
    </fill>
    <fill>
      <patternFill patternType="solid">
        <fgColor rgb="FFD8E9F7"/>
        <bgColor rgb="FFD8E9F7"/>
      </patternFill>
    </fill>
    <fill>
      <patternFill patternType="solid">
        <fgColor rgb="FFD9F3E6"/>
        <bgColor rgb="FFD9F3E6"/>
      </patternFill>
    </fill>
    <fill>
      <patternFill patternType="solid">
        <fgColor rgb="FFF6D9EF"/>
        <bgColor rgb="FFF6D9EF"/>
      </patternFill>
    </fill>
    <fill>
      <patternFill patternType="solid">
        <fgColor rgb="FFFDE3BE"/>
        <bgColor rgb="FFFDE3BE"/>
      </patternFill>
    </fill>
    <fill>
      <patternFill patternType="solid">
        <fgColor rgb="FFD7EFDC"/>
        <bgColor rgb="FFD7EFDC"/>
      </patternFill>
    </fill>
    <fill>
      <patternFill patternType="solid">
        <fgColor rgb="FFDCF0E6"/>
        <bgColor rgb="FFDCF0E6"/>
      </patternFill>
    </fill>
    <fill>
      <patternFill patternType="solid">
        <fgColor rgb="FFE3E5FA"/>
        <bgColor rgb="FFE3E5FA"/>
      </patternFill>
    </fill>
    <fill>
      <patternFill patternType="solid">
        <fgColor rgb="FFDCDFF5"/>
        <bgColor rgb="FFDCDFF5"/>
      </patternFill>
    </fill>
    <fill>
      <patternFill patternType="solid">
        <fgColor rgb="FFEEE0F6"/>
        <bgColor rgb="FFEEE0F6"/>
      </patternFill>
    </fill>
    <fill>
      <patternFill patternType="solid">
        <fgColor rgb="FFFCE1DC"/>
        <bgColor rgb="FFFCE1DC"/>
      </patternFill>
    </fill>
    <fill>
      <patternFill patternType="solid">
        <fgColor rgb="FFF5ECD7"/>
        <bgColor rgb="FFF5ECD7"/>
      </patternFill>
    </fill>
    <fill>
      <patternFill patternType="solid">
        <fgColor rgb="FFE9DFF1"/>
        <bgColor rgb="FFE9DFF1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59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vertical="center"/>
    </xf>
    <xf borderId="0" fillId="0" fontId="2" numFmtId="0" xfId="0" applyFont="1"/>
    <xf borderId="0" fillId="3" fontId="3" numFmtId="0" xfId="0" applyAlignment="1" applyFill="1" applyFont="1">
      <alignment vertical="center"/>
    </xf>
    <xf borderId="0" fillId="0" fontId="4" numFmtId="0" xfId="0" applyAlignment="1" applyFont="1">
      <alignment horizontal="center" vertical="center"/>
    </xf>
    <xf borderId="0" fillId="4" fontId="5" numFmtId="0" xfId="0" applyFill="1" applyFont="1"/>
    <xf borderId="1" fillId="5" fontId="6" numFmtId="0" xfId="0" applyAlignment="1" applyBorder="1" applyFill="1" applyFont="1">
      <alignment horizontal="center" vertical="center"/>
    </xf>
    <xf borderId="1" fillId="0" fontId="7" numFmtId="0" xfId="0" applyAlignment="1" applyBorder="1" applyFont="1">
      <alignment horizontal="left" shrinkToFit="0" vertical="center" wrapText="1"/>
    </xf>
    <xf borderId="1" fillId="0" fontId="8" numFmtId="0" xfId="0" applyAlignment="1" applyBorder="1" applyFont="1">
      <alignment horizontal="center" vertical="center"/>
    </xf>
    <xf borderId="1" fillId="6" fontId="8" numFmtId="0" xfId="0" applyAlignment="1" applyBorder="1" applyFill="1" applyFont="1">
      <alignment horizontal="center" vertical="center"/>
    </xf>
    <xf borderId="1" fillId="0" fontId="9" numFmtId="0" xfId="0" applyAlignment="1" applyBorder="1" applyFont="1">
      <alignment horizontal="center" vertical="center"/>
    </xf>
    <xf borderId="0" fillId="7" fontId="10" numFmtId="0" xfId="0" applyAlignment="1" applyFill="1" applyFont="1">
      <alignment shrinkToFit="0" vertical="center" wrapText="1"/>
    </xf>
    <xf borderId="1" fillId="8" fontId="8" numFmtId="0" xfId="0" applyAlignment="1" applyBorder="1" applyFill="1" applyFont="1">
      <alignment horizontal="center" vertical="center"/>
    </xf>
    <xf borderId="0" fillId="9" fontId="11" numFmtId="0" xfId="0" applyAlignment="1" applyFill="1" applyFont="1">
      <alignment shrinkToFit="0" vertical="center" wrapText="1"/>
    </xf>
    <xf borderId="0" fillId="9" fontId="9" numFmtId="0" xfId="0" applyAlignment="1" applyFill="1" applyFont="1">
      <alignment shrinkToFit="0" vertical="center" wrapText="1"/>
    </xf>
    <xf borderId="0" fillId="9" fontId="9" numFmtId="9" xfId="0" applyAlignment="1" applyFill="1" applyFont="1" applyNumberFormat="1">
      <alignment readingOrder="0" shrinkToFit="0" vertical="center" wrapText="1"/>
    </xf>
    <xf borderId="0" fillId="9" fontId="9" numFmtId="0" xfId="0" applyAlignment="1" applyFill="1" applyFont="1">
      <alignment readingOrder="0" shrinkToFit="0" vertical="center" wrapText="1"/>
    </xf>
    <xf borderId="0" fillId="0" fontId="9" numFmtId="0" xfId="0" applyAlignment="1" applyFont="1">
      <alignment shrinkToFit="0" vertical="center" wrapText="1"/>
    </xf>
    <xf borderId="0" fillId="0" fontId="9" numFmtId="164" xfId="0" applyAlignment="1" applyFont="1" applyNumberFormat="1">
      <alignment shrinkToFit="0" vertical="center" wrapText="1"/>
    </xf>
    <xf borderId="0" fillId="10" fontId="9" numFmtId="0" xfId="0" applyAlignment="1" applyFill="1" applyFont="1">
      <alignment shrinkToFit="0" vertical="center" wrapText="1"/>
    </xf>
    <xf borderId="0" fillId="0" fontId="9" numFmtId="9" xfId="0" applyAlignment="1" applyFont="1" applyNumberFormat="1">
      <alignment readingOrder="0" shrinkToFit="0" vertical="center" wrapText="1"/>
    </xf>
    <xf borderId="0" fillId="0" fontId="9" numFmtId="0" xfId="0" applyAlignment="1" applyFont="1">
      <alignment readingOrder="0" shrinkToFit="0" vertical="center" wrapText="1"/>
    </xf>
    <xf borderId="0" fillId="0" fontId="12" numFmtId="0" xfId="0" applyAlignment="1" applyFont="1">
      <alignment readingOrder="0"/>
    </xf>
    <xf borderId="0" fillId="10" fontId="9" numFmtId="0" xfId="0" applyAlignment="1" applyFill="1" applyFont="1">
      <alignment readingOrder="0" shrinkToFit="0" vertical="center" wrapText="1"/>
    </xf>
    <xf borderId="0" fillId="0" fontId="8" numFmtId="0" xfId="0" applyFont="1"/>
    <xf borderId="0" fillId="8" fontId="8" numFmtId="0" xfId="0" applyAlignment="1" applyFill="1" applyFont="1">
      <alignment horizontal="center" vertical="center"/>
    </xf>
    <xf borderId="0" fillId="0" fontId="7" numFmtId="0" xfId="0" applyFont="1"/>
    <xf borderId="0" fillId="6" fontId="8" numFmtId="0" xfId="0" applyAlignment="1" applyFill="1" applyFont="1">
      <alignment horizontal="center" vertical="center"/>
    </xf>
    <xf borderId="0" fillId="11" fontId="11" numFmtId="0" xfId="0" applyAlignment="1" applyFill="1" applyFont="1">
      <alignment shrinkToFit="0" vertical="center" wrapText="1"/>
    </xf>
    <xf borderId="0" fillId="11" fontId="9" numFmtId="0" xfId="0" applyAlignment="1" applyFill="1" applyFont="1">
      <alignment shrinkToFit="0" vertical="center" wrapText="1"/>
    </xf>
    <xf borderId="0" fillId="11" fontId="9" numFmtId="164" xfId="0" applyAlignment="1" applyFill="1" applyFont="1" applyNumberFormat="1">
      <alignment shrinkToFit="0" vertical="center" wrapText="1"/>
    </xf>
    <xf borderId="0" fillId="12" fontId="11" numFmtId="0" xfId="0" applyAlignment="1" applyFill="1" applyFont="1">
      <alignment shrinkToFit="0" vertical="center" wrapText="1"/>
    </xf>
    <xf borderId="0" fillId="12" fontId="9" numFmtId="0" xfId="0" applyAlignment="1" applyFill="1" applyFont="1">
      <alignment shrinkToFit="0" vertical="center" wrapText="1"/>
    </xf>
    <xf borderId="0" fillId="12" fontId="9" numFmtId="164" xfId="0" applyAlignment="1" applyFill="1" applyFont="1" applyNumberFormat="1">
      <alignment shrinkToFit="0" vertical="center" wrapText="1"/>
    </xf>
    <xf borderId="0" fillId="13" fontId="11" numFmtId="0" xfId="0" applyAlignment="1" applyFill="1" applyFont="1">
      <alignment shrinkToFit="0" vertical="center" wrapText="1"/>
    </xf>
    <xf borderId="0" fillId="13" fontId="9" numFmtId="0" xfId="0" applyAlignment="1" applyFill="1" applyFont="1">
      <alignment shrinkToFit="0" vertical="center" wrapText="1"/>
    </xf>
    <xf borderId="0" fillId="13" fontId="9" numFmtId="164" xfId="0" applyAlignment="1" applyFill="1" applyFont="1" applyNumberFormat="1">
      <alignment shrinkToFit="0" vertical="center" wrapText="1"/>
    </xf>
    <xf borderId="0" fillId="14" fontId="11" numFmtId="0" xfId="0" applyAlignment="1" applyFill="1" applyFont="1">
      <alignment shrinkToFit="0" vertical="center" wrapText="1"/>
    </xf>
    <xf borderId="0" fillId="14" fontId="9" numFmtId="0" xfId="0" applyAlignment="1" applyFill="1" applyFont="1">
      <alignment shrinkToFit="0" vertical="center" wrapText="1"/>
    </xf>
    <xf borderId="0" fillId="14" fontId="9" numFmtId="164" xfId="0" applyAlignment="1" applyFill="1" applyFont="1" applyNumberFormat="1">
      <alignment shrinkToFit="0" vertical="center" wrapText="1"/>
    </xf>
    <xf borderId="0" fillId="15" fontId="11" numFmtId="0" xfId="0" applyAlignment="1" applyFill="1" applyFont="1">
      <alignment shrinkToFit="0" vertical="center" wrapText="1"/>
    </xf>
    <xf borderId="0" fillId="15" fontId="9" numFmtId="0" xfId="0" applyAlignment="1" applyFill="1" applyFont="1">
      <alignment shrinkToFit="0" vertical="center" wrapText="1"/>
    </xf>
    <xf borderId="0" fillId="15" fontId="9" numFmtId="164" xfId="0" applyAlignment="1" applyFill="1" applyFont="1" applyNumberFormat="1">
      <alignment shrinkToFit="0" vertical="center" wrapText="1"/>
    </xf>
    <xf borderId="0" fillId="16" fontId="11" numFmtId="0" xfId="0" applyAlignment="1" applyFill="1" applyFont="1">
      <alignment shrinkToFit="0" vertical="center" wrapText="1"/>
    </xf>
    <xf borderId="0" fillId="16" fontId="9" numFmtId="0" xfId="0" applyAlignment="1" applyFill="1" applyFont="1">
      <alignment shrinkToFit="0" vertical="center" wrapText="1"/>
    </xf>
    <xf borderId="0" fillId="16" fontId="9" numFmtId="164" xfId="0" applyAlignment="1" applyFill="1" applyFont="1" applyNumberFormat="1">
      <alignment shrinkToFit="0" vertical="center" wrapText="1"/>
    </xf>
    <xf borderId="0" fillId="9" fontId="9" numFmtId="164" xfId="0" applyAlignment="1" applyFill="1" applyFont="1" applyNumberFormat="1">
      <alignment shrinkToFit="0" vertical="center" wrapText="1"/>
    </xf>
    <xf borderId="0" fillId="17" fontId="11" numFmtId="0" xfId="0" applyAlignment="1" applyFill="1" applyFont="1">
      <alignment shrinkToFit="0" vertical="center" wrapText="1"/>
    </xf>
    <xf borderId="0" fillId="17" fontId="9" numFmtId="0" xfId="0" applyAlignment="1" applyFill="1" applyFont="1">
      <alignment shrinkToFit="0" vertical="center" wrapText="1"/>
    </xf>
    <xf borderId="0" fillId="17" fontId="9" numFmtId="164" xfId="0" applyAlignment="1" applyFill="1" applyFont="1" applyNumberFormat="1">
      <alignment shrinkToFit="0" vertical="center" wrapText="1"/>
    </xf>
    <xf borderId="0" fillId="18" fontId="11" numFmtId="0" xfId="0" applyAlignment="1" applyFill="1" applyFont="1">
      <alignment shrinkToFit="0" vertical="center" wrapText="1"/>
    </xf>
    <xf borderId="0" fillId="18" fontId="9" numFmtId="0" xfId="0" applyAlignment="1" applyFill="1" applyFont="1">
      <alignment shrinkToFit="0" vertical="center" wrapText="1"/>
    </xf>
    <xf borderId="0" fillId="18" fontId="9" numFmtId="164" xfId="0" applyAlignment="1" applyFill="1" applyFont="1" applyNumberFormat="1">
      <alignment shrinkToFit="0" vertical="center" wrapText="1"/>
    </xf>
    <xf borderId="0" fillId="19" fontId="11" numFmtId="0" xfId="0" applyAlignment="1" applyFill="1" applyFont="1">
      <alignment shrinkToFit="0" vertical="center" wrapText="1"/>
    </xf>
    <xf borderId="0" fillId="19" fontId="9" numFmtId="0" xfId="0" applyAlignment="1" applyFill="1" applyFont="1">
      <alignment shrinkToFit="0" vertical="center" wrapText="1"/>
    </xf>
    <xf borderId="0" fillId="19" fontId="9" numFmtId="164" xfId="0" applyAlignment="1" applyFill="1" applyFont="1" applyNumberFormat="1">
      <alignment shrinkToFit="0" vertical="center" wrapText="1"/>
    </xf>
    <xf borderId="0" fillId="20" fontId="11" numFmtId="0" xfId="0" applyAlignment="1" applyFill="1" applyFont="1">
      <alignment shrinkToFit="0" vertical="center" wrapText="1"/>
    </xf>
    <xf borderId="0" fillId="20" fontId="9" numFmtId="0" xfId="0" applyAlignment="1" applyFill="1" applyFont="1">
      <alignment shrinkToFit="0" vertical="center" wrapText="1"/>
    </xf>
    <xf borderId="0" fillId="20" fontId="9" numFmtId="164" xfId="0" applyAlignment="1" applyFill="1" applyFont="1" applyNumberFormat="1">
      <alignment shrinkToFit="0" vertical="center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5.0"/>
    <col customWidth="1" min="2" max="2" width="22.0"/>
    <col customWidth="1" min="3" max="3" width="12.0"/>
    <col customWidth="1" min="4" max="14" width="6.0"/>
    <col customWidth="1" min="15" max="26" width="8.71"/>
  </cols>
  <sheetData>
    <row r="1">
      <c r="A1" s="2" t="s">
        <v>1</v>
      </c>
    </row>
    <row r="2">
      <c r="D2" s="4" t="s">
        <v>3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11</v>
      </c>
      <c r="K2" s="4" t="s">
        <v>12</v>
      </c>
      <c r="L2" s="4" t="s">
        <v>14</v>
      </c>
      <c r="M2" s="4" t="s">
        <v>15</v>
      </c>
      <c r="N2" s="4" t="s">
        <v>16</v>
      </c>
    </row>
    <row r="3">
      <c r="A3" s="6" t="s">
        <v>17</v>
      </c>
      <c r="B3" s="6" t="s">
        <v>18</v>
      </c>
      <c r="C3" s="6" t="s">
        <v>19</v>
      </c>
      <c r="D3" s="6" t="s">
        <v>20</v>
      </c>
      <c r="E3" s="6" t="s">
        <v>21</v>
      </c>
      <c r="F3" s="6" t="s">
        <v>22</v>
      </c>
      <c r="G3" s="6" t="s">
        <v>23</v>
      </c>
      <c r="H3" s="6" t="s">
        <v>24</v>
      </c>
      <c r="I3" s="6" t="s">
        <v>25</v>
      </c>
      <c r="J3" s="6" t="s">
        <v>26</v>
      </c>
      <c r="K3" s="6" t="s">
        <v>27</v>
      </c>
      <c r="L3" s="6" t="s">
        <v>28</v>
      </c>
      <c r="M3" s="6" t="s">
        <v>29</v>
      </c>
    </row>
    <row r="4" ht="27.75" customHeight="1">
      <c r="A4" s="7" t="s">
        <v>31</v>
      </c>
      <c r="B4" s="8" t="s">
        <v>32</v>
      </c>
      <c r="C4" s="9" t="s">
        <v>33</v>
      </c>
      <c r="D4" s="9" t="s">
        <v>33</v>
      </c>
      <c r="E4" s="10"/>
      <c r="F4" s="10"/>
      <c r="G4" s="10"/>
      <c r="H4" s="10"/>
      <c r="I4" s="10"/>
      <c r="J4" s="10"/>
      <c r="K4" s="10"/>
      <c r="L4" s="10"/>
      <c r="M4" s="10"/>
    </row>
    <row r="5" ht="27.75" customHeight="1">
      <c r="A5" s="7" t="s">
        <v>38</v>
      </c>
      <c r="B5" s="8"/>
      <c r="C5" s="10"/>
      <c r="D5" s="12" t="s">
        <v>33</v>
      </c>
      <c r="E5" s="12" t="s">
        <v>33</v>
      </c>
      <c r="F5" s="10"/>
      <c r="G5" s="10"/>
      <c r="H5" s="10"/>
      <c r="I5" s="10"/>
      <c r="J5" s="10"/>
      <c r="K5" s="10"/>
      <c r="L5" s="10"/>
      <c r="M5" s="10"/>
    </row>
    <row r="6" ht="27.75" customHeight="1">
      <c r="A6" s="7" t="s">
        <v>46</v>
      </c>
      <c r="B6" s="8"/>
      <c r="C6" s="10"/>
      <c r="D6" s="12" t="s">
        <v>33</v>
      </c>
      <c r="E6" s="12" t="s">
        <v>33</v>
      </c>
      <c r="F6" s="12" t="s">
        <v>33</v>
      </c>
      <c r="G6" s="10"/>
      <c r="H6" s="10"/>
      <c r="I6" s="10"/>
      <c r="J6" s="10"/>
      <c r="K6" s="10"/>
      <c r="L6" s="10"/>
      <c r="M6" s="10"/>
    </row>
    <row r="7" ht="27.75" customHeight="1">
      <c r="A7" s="7" t="s">
        <v>48</v>
      </c>
      <c r="B7" s="8"/>
      <c r="C7" s="10"/>
      <c r="D7" s="10"/>
      <c r="E7" s="10"/>
      <c r="F7" s="12" t="s">
        <v>33</v>
      </c>
      <c r="G7" s="12" t="s">
        <v>33</v>
      </c>
      <c r="H7" s="10"/>
      <c r="I7" s="10"/>
      <c r="J7" s="10"/>
      <c r="K7" s="10"/>
      <c r="L7" s="10"/>
      <c r="M7" s="10"/>
    </row>
    <row r="8" ht="27.75" customHeight="1">
      <c r="A8" s="7" t="s">
        <v>51</v>
      </c>
      <c r="B8" s="8"/>
      <c r="C8" s="10"/>
      <c r="D8" s="10"/>
      <c r="E8" s="10"/>
      <c r="F8" s="12" t="s">
        <v>33</v>
      </c>
      <c r="G8" s="12" t="s">
        <v>33</v>
      </c>
      <c r="H8" s="10"/>
      <c r="I8" s="10"/>
      <c r="J8" s="10"/>
      <c r="K8" s="10"/>
      <c r="L8" s="10"/>
      <c r="M8" s="10"/>
    </row>
    <row r="9" ht="27.75" customHeight="1">
      <c r="A9" s="7" t="s">
        <v>53</v>
      </c>
      <c r="B9" s="8"/>
      <c r="C9" s="10"/>
      <c r="D9" s="10"/>
      <c r="E9" s="10"/>
      <c r="F9" s="10"/>
      <c r="G9" s="12" t="s">
        <v>33</v>
      </c>
      <c r="H9" s="10"/>
      <c r="I9" s="10"/>
      <c r="J9" s="10"/>
      <c r="K9" s="10"/>
      <c r="L9" s="10"/>
      <c r="M9" s="10"/>
    </row>
    <row r="10" ht="27.75" customHeight="1">
      <c r="A10" s="7" t="s">
        <v>55</v>
      </c>
      <c r="B10" s="8"/>
      <c r="C10" s="10"/>
      <c r="D10" s="10"/>
      <c r="E10" s="10"/>
      <c r="F10" s="10"/>
      <c r="G10" s="12" t="s">
        <v>33</v>
      </c>
      <c r="H10" s="10"/>
      <c r="I10" s="10"/>
      <c r="J10" s="10"/>
      <c r="K10" s="10"/>
      <c r="L10" s="10"/>
      <c r="M10" s="10"/>
    </row>
    <row r="11" ht="27.75" customHeight="1">
      <c r="A11" s="7" t="s">
        <v>58</v>
      </c>
      <c r="B11" s="8" t="s">
        <v>59</v>
      </c>
      <c r="C11" s="10"/>
      <c r="D11" s="10"/>
      <c r="E11" s="10"/>
      <c r="F11" s="10"/>
      <c r="G11" s="10"/>
      <c r="H11" s="9" t="s">
        <v>33</v>
      </c>
      <c r="I11" s="10"/>
      <c r="J11" s="10"/>
      <c r="K11" s="10"/>
      <c r="L11" s="10"/>
      <c r="M11" s="10"/>
    </row>
    <row r="12" ht="27.75" customHeight="1">
      <c r="A12" s="7" t="s">
        <v>62</v>
      </c>
      <c r="B12" s="8"/>
      <c r="C12" s="10"/>
      <c r="D12" s="10"/>
      <c r="E12" s="10"/>
      <c r="F12" s="10"/>
      <c r="G12" s="10"/>
      <c r="H12" s="10"/>
      <c r="I12" s="12" t="s">
        <v>33</v>
      </c>
      <c r="J12" s="12" t="s">
        <v>33</v>
      </c>
      <c r="K12" s="10"/>
      <c r="L12" s="10"/>
      <c r="M12" s="10"/>
    </row>
    <row r="13" ht="27.75" customHeight="1">
      <c r="A13" s="7" t="s">
        <v>65</v>
      </c>
      <c r="B13" s="8"/>
      <c r="C13" s="10"/>
      <c r="D13" s="10"/>
      <c r="E13" s="10"/>
      <c r="F13" s="10"/>
      <c r="G13" s="10"/>
      <c r="H13" s="10"/>
      <c r="I13" s="12" t="s">
        <v>33</v>
      </c>
      <c r="J13" s="10"/>
      <c r="K13" s="10"/>
      <c r="L13" s="10"/>
      <c r="M13" s="10"/>
    </row>
    <row r="14" ht="27.75" customHeight="1">
      <c r="A14" s="7" t="s">
        <v>67</v>
      </c>
      <c r="B14" s="8"/>
      <c r="C14" s="10"/>
      <c r="D14" s="10"/>
      <c r="E14" s="10"/>
      <c r="F14" s="10"/>
      <c r="G14" s="10"/>
      <c r="H14" s="10"/>
      <c r="I14" s="10"/>
      <c r="J14" s="12" t="s">
        <v>33</v>
      </c>
      <c r="K14" s="10"/>
      <c r="L14" s="10"/>
      <c r="M14" s="10"/>
    </row>
    <row r="15" ht="27.75" customHeight="1">
      <c r="A15" s="7" t="s">
        <v>71</v>
      </c>
      <c r="B15" s="8"/>
      <c r="C15" s="10"/>
      <c r="D15" s="10"/>
      <c r="E15" s="10"/>
      <c r="F15" s="10"/>
      <c r="G15" s="10"/>
      <c r="H15" s="10"/>
      <c r="I15" s="10"/>
      <c r="J15" s="10"/>
      <c r="K15" s="12" t="s">
        <v>33</v>
      </c>
      <c r="L15" s="10"/>
      <c r="M15" s="10"/>
    </row>
    <row r="16" ht="27.75" customHeight="1">
      <c r="A16" s="7" t="s">
        <v>75</v>
      </c>
      <c r="B16" s="8"/>
      <c r="C16" s="10"/>
      <c r="D16" s="10"/>
      <c r="E16" s="10"/>
      <c r="F16" s="10"/>
      <c r="G16" s="10"/>
      <c r="H16" s="10"/>
      <c r="I16" s="10"/>
      <c r="J16" s="10"/>
      <c r="K16" s="12" t="s">
        <v>33</v>
      </c>
      <c r="L16" s="12" t="s">
        <v>33</v>
      </c>
      <c r="M16" s="10"/>
    </row>
    <row r="17" ht="27.75" customHeight="1">
      <c r="A17" s="7" t="s">
        <v>77</v>
      </c>
      <c r="B17" s="8" t="s">
        <v>79</v>
      </c>
      <c r="C17" s="10"/>
      <c r="D17" s="10"/>
      <c r="E17" s="10"/>
      <c r="F17" s="10"/>
      <c r="G17" s="10"/>
      <c r="H17" s="10"/>
      <c r="I17" s="10"/>
      <c r="J17" s="10"/>
      <c r="K17" s="10"/>
      <c r="L17" s="9" t="s">
        <v>33</v>
      </c>
      <c r="M17" s="10"/>
    </row>
    <row r="18" ht="27.75" customHeight="1">
      <c r="A18" s="7" t="s">
        <v>82</v>
      </c>
      <c r="B18" s="8" t="s">
        <v>84</v>
      </c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9" t="s">
        <v>33</v>
      </c>
    </row>
    <row r="19" ht="27.75" customHeight="1">
      <c r="A19" s="7" t="s">
        <v>87</v>
      </c>
      <c r="B19" s="8"/>
      <c r="C19" s="10"/>
      <c r="D19" s="10"/>
      <c r="E19" s="10"/>
      <c r="F19" s="12" t="s">
        <v>33</v>
      </c>
      <c r="G19" s="12" t="s">
        <v>33</v>
      </c>
      <c r="H19" s="12" t="s">
        <v>33</v>
      </c>
      <c r="I19" s="12" t="s">
        <v>33</v>
      </c>
      <c r="J19" s="12" t="s">
        <v>33</v>
      </c>
      <c r="K19" s="12" t="s">
        <v>33</v>
      </c>
      <c r="L19" s="12" t="s">
        <v>33</v>
      </c>
      <c r="M19" s="10"/>
    </row>
    <row r="21" ht="15.75" customHeight="1"/>
    <row r="22" ht="15.75" customHeight="1">
      <c r="A22" s="24" t="s">
        <v>93</v>
      </c>
    </row>
    <row r="23" ht="15.75" customHeight="1">
      <c r="A23" s="25" t="s">
        <v>33</v>
      </c>
      <c r="B23" s="26" t="s">
        <v>98</v>
      </c>
    </row>
    <row r="24" ht="15.75" customHeight="1">
      <c r="A24" s="27" t="s">
        <v>33</v>
      </c>
      <c r="B24" s="26" t="s">
        <v>103</v>
      </c>
    </row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C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4.0"/>
    <col customWidth="1" min="2" max="2" width="11.0"/>
    <col customWidth="1" min="3" max="3" width="62.0"/>
    <col customWidth="1" min="4" max="5" width="20.0"/>
    <col customWidth="1" min="6" max="6" width="12.0"/>
    <col customWidth="1" min="7" max="7" width="19.0"/>
    <col customWidth="1" min="8" max="8" width="86.71"/>
    <col customWidth="1" min="9" max="26" width="8.71"/>
  </cols>
  <sheetData>
    <row r="1" ht="36.0" customHeight="1">
      <c r="A1" s="1" t="s">
        <v>0</v>
      </c>
    </row>
    <row r="2" ht="27.75" customHeight="1">
      <c r="A2" s="3" t="s">
        <v>2</v>
      </c>
    </row>
    <row r="3" ht="27.75" customHeight="1">
      <c r="A3" s="5" t="s">
        <v>4</v>
      </c>
      <c r="B3" s="5">
        <v>15.0</v>
      </c>
      <c r="C3" s="5" t="s">
        <v>10</v>
      </c>
      <c r="D3" s="5">
        <v>80.0</v>
      </c>
      <c r="E3" s="5" t="s">
        <v>13</v>
      </c>
      <c r="F3" s="5">
        <f>COUNTIF(G6:G205,"Completada")</f>
        <v>14</v>
      </c>
      <c r="G3" s="5" t="s">
        <v>30</v>
      </c>
      <c r="H3" s="5">
        <f>COUNTIF(G6:G205,"Por verificar")</f>
        <v>0</v>
      </c>
    </row>
    <row r="5" ht="36.0" customHeight="1">
      <c r="A5" s="11" t="s">
        <v>34</v>
      </c>
      <c r="B5" s="11" t="s">
        <v>35</v>
      </c>
      <c r="C5" s="11" t="s">
        <v>36</v>
      </c>
      <c r="D5" s="11" t="s">
        <v>37</v>
      </c>
      <c r="E5" s="11" t="s">
        <v>39</v>
      </c>
      <c r="F5" s="11" t="s">
        <v>40</v>
      </c>
      <c r="G5" s="11" t="s">
        <v>41</v>
      </c>
      <c r="H5" s="11" t="s">
        <v>42</v>
      </c>
    </row>
    <row r="6" ht="48.0" customHeight="1">
      <c r="A6" s="13" t="s">
        <v>31</v>
      </c>
      <c r="B6" s="14" t="s">
        <v>43</v>
      </c>
      <c r="C6" s="14" t="s">
        <v>44</v>
      </c>
      <c r="D6" s="14" t="s">
        <v>45</v>
      </c>
      <c r="E6" s="14" t="s">
        <v>47</v>
      </c>
      <c r="F6" s="15">
        <v>1.0</v>
      </c>
      <c r="G6" s="16" t="s">
        <v>49</v>
      </c>
      <c r="H6" s="14" t="s">
        <v>50</v>
      </c>
    </row>
    <row r="7" ht="34.5" customHeight="1">
      <c r="A7" s="17"/>
      <c r="B7" s="17" t="s">
        <v>43</v>
      </c>
      <c r="C7" s="17" t="s">
        <v>52</v>
      </c>
      <c r="D7" s="17" t="s">
        <v>45</v>
      </c>
      <c r="E7" s="17" t="s">
        <v>47</v>
      </c>
      <c r="F7" s="18">
        <v>100.0</v>
      </c>
      <c r="G7" s="19" t="s">
        <v>49</v>
      </c>
      <c r="H7" s="17" t="s">
        <v>54</v>
      </c>
    </row>
    <row r="8" ht="34.5" customHeight="1">
      <c r="A8" s="17"/>
      <c r="B8" s="17" t="s">
        <v>43</v>
      </c>
      <c r="C8" s="17" t="s">
        <v>56</v>
      </c>
      <c r="D8" s="17" t="s">
        <v>45</v>
      </c>
      <c r="E8" s="17" t="s">
        <v>47</v>
      </c>
      <c r="F8" s="18">
        <v>100.0</v>
      </c>
      <c r="G8" s="19" t="s">
        <v>49</v>
      </c>
      <c r="H8" s="17" t="s">
        <v>57</v>
      </c>
    </row>
    <row r="9" ht="34.5" customHeight="1">
      <c r="A9" s="17"/>
      <c r="B9" s="17" t="s">
        <v>43</v>
      </c>
      <c r="C9" s="17" t="s">
        <v>60</v>
      </c>
      <c r="D9" s="17" t="s">
        <v>45</v>
      </c>
      <c r="E9" s="17" t="s">
        <v>47</v>
      </c>
      <c r="F9" s="18">
        <v>100.0</v>
      </c>
      <c r="G9" s="19" t="s">
        <v>49</v>
      </c>
      <c r="H9" s="17" t="s">
        <v>61</v>
      </c>
    </row>
    <row r="10" ht="34.5" customHeight="1">
      <c r="A10" s="17"/>
      <c r="B10" s="17" t="s">
        <v>43</v>
      </c>
      <c r="C10" s="17" t="s">
        <v>63</v>
      </c>
      <c r="D10" s="17" t="s">
        <v>64</v>
      </c>
      <c r="E10" s="17" t="s">
        <v>47</v>
      </c>
      <c r="F10" s="20">
        <v>1.0</v>
      </c>
      <c r="G10" s="19" t="s">
        <v>49</v>
      </c>
      <c r="H10" s="21" t="s">
        <v>66</v>
      </c>
    </row>
    <row r="11" ht="34.5" customHeight="1">
      <c r="A11" s="17"/>
      <c r="B11" s="17" t="s">
        <v>43</v>
      </c>
      <c r="C11" s="17" t="s">
        <v>68</v>
      </c>
      <c r="D11" s="21" t="s">
        <v>69</v>
      </c>
      <c r="E11" s="17" t="s">
        <v>47</v>
      </c>
      <c r="F11" s="20">
        <v>1.0</v>
      </c>
      <c r="G11" s="19" t="s">
        <v>49</v>
      </c>
      <c r="H11" s="21" t="s">
        <v>70</v>
      </c>
    </row>
    <row r="12" ht="34.5" customHeight="1">
      <c r="A12" s="17"/>
      <c r="B12" s="17" t="s">
        <v>43</v>
      </c>
      <c r="C12" s="17" t="s">
        <v>72</v>
      </c>
      <c r="D12" s="21" t="s">
        <v>73</v>
      </c>
      <c r="E12" s="17" t="s">
        <v>47</v>
      </c>
      <c r="F12" s="20">
        <v>1.0</v>
      </c>
      <c r="G12" s="19" t="s">
        <v>49</v>
      </c>
      <c r="H12" s="21" t="s">
        <v>74</v>
      </c>
    </row>
    <row r="13" ht="34.5" customHeight="1">
      <c r="A13" s="17"/>
      <c r="B13" s="17" t="s">
        <v>43</v>
      </c>
      <c r="C13" s="17" t="s">
        <v>76</v>
      </c>
      <c r="D13" s="21" t="s">
        <v>64</v>
      </c>
      <c r="E13" s="17" t="s">
        <v>47</v>
      </c>
      <c r="F13" s="20">
        <v>1.0</v>
      </c>
      <c r="G13" s="19" t="s">
        <v>49</v>
      </c>
      <c r="H13" s="21" t="s">
        <v>78</v>
      </c>
    </row>
    <row r="14" ht="34.5" customHeight="1">
      <c r="A14" s="17"/>
      <c r="B14" s="17" t="s">
        <v>43</v>
      </c>
      <c r="C14" s="17" t="s">
        <v>80</v>
      </c>
      <c r="D14" s="17" t="s">
        <v>64</v>
      </c>
      <c r="E14" s="17" t="s">
        <v>47</v>
      </c>
      <c r="F14" s="18">
        <v>100.0</v>
      </c>
      <c r="G14" s="19" t="s">
        <v>49</v>
      </c>
      <c r="H14" s="17" t="s">
        <v>81</v>
      </c>
    </row>
    <row r="15" ht="34.5" customHeight="1">
      <c r="A15" s="17"/>
      <c r="B15" s="17" t="s">
        <v>83</v>
      </c>
      <c r="C15" s="22" t="s">
        <v>85</v>
      </c>
      <c r="D15" s="21" t="s">
        <v>64</v>
      </c>
      <c r="E15" s="17" t="s">
        <v>86</v>
      </c>
      <c r="F15" s="18">
        <v>100.0</v>
      </c>
      <c r="G15" s="23" t="s">
        <v>49</v>
      </c>
      <c r="H15" s="21" t="s">
        <v>88</v>
      </c>
    </row>
    <row r="16" ht="34.5" customHeight="1">
      <c r="A16" s="17"/>
      <c r="B16" s="17" t="s">
        <v>89</v>
      </c>
      <c r="C16" s="22" t="s">
        <v>90</v>
      </c>
      <c r="D16" s="21" t="s">
        <v>73</v>
      </c>
      <c r="E16" s="17" t="s">
        <v>91</v>
      </c>
      <c r="F16" s="18">
        <v>100.0</v>
      </c>
      <c r="G16" s="23" t="s">
        <v>49</v>
      </c>
      <c r="H16" s="21" t="s">
        <v>92</v>
      </c>
    </row>
    <row r="17" ht="34.5" customHeight="1">
      <c r="A17" s="17"/>
      <c r="B17" s="17" t="s">
        <v>94</v>
      </c>
      <c r="C17" s="22" t="s">
        <v>95</v>
      </c>
      <c r="D17" s="21" t="s">
        <v>73</v>
      </c>
      <c r="E17" s="17" t="s">
        <v>96</v>
      </c>
      <c r="F17" s="18">
        <v>100.0</v>
      </c>
      <c r="G17" s="23" t="s">
        <v>49</v>
      </c>
      <c r="H17" s="21" t="s">
        <v>97</v>
      </c>
    </row>
    <row r="18" ht="34.5" customHeight="1">
      <c r="A18" s="17"/>
      <c r="B18" s="17" t="s">
        <v>99</v>
      </c>
      <c r="C18" s="22" t="s">
        <v>100</v>
      </c>
      <c r="D18" s="21" t="s">
        <v>64</v>
      </c>
      <c r="E18" s="17" t="s">
        <v>101</v>
      </c>
      <c r="F18" s="18">
        <v>100.0</v>
      </c>
      <c r="G18" s="23" t="s">
        <v>49</v>
      </c>
      <c r="H18" s="21" t="s">
        <v>102</v>
      </c>
    </row>
    <row r="19" ht="34.5" customHeight="1">
      <c r="A19" s="17"/>
      <c r="B19" s="17" t="s">
        <v>104</v>
      </c>
      <c r="C19" s="22" t="s">
        <v>105</v>
      </c>
      <c r="D19" s="21" t="s">
        <v>64</v>
      </c>
      <c r="E19" s="17" t="s">
        <v>106</v>
      </c>
      <c r="F19" s="18">
        <v>100.0</v>
      </c>
      <c r="G19" s="23" t="s">
        <v>49</v>
      </c>
      <c r="H19" s="21" t="s">
        <v>107</v>
      </c>
    </row>
    <row r="20" ht="48.0" customHeight="1">
      <c r="A20" s="28" t="s">
        <v>38</v>
      </c>
      <c r="B20" s="29" t="s">
        <v>108</v>
      </c>
      <c r="C20" s="29" t="s">
        <v>109</v>
      </c>
      <c r="D20" s="29" t="s">
        <v>110</v>
      </c>
      <c r="E20" s="29" t="s">
        <v>111</v>
      </c>
      <c r="F20" s="30"/>
      <c r="G20" s="29" t="s">
        <v>112</v>
      </c>
      <c r="H20" s="29" t="s">
        <v>113</v>
      </c>
    </row>
    <row r="21" ht="34.5" customHeight="1">
      <c r="A21" s="17"/>
      <c r="B21" s="17" t="s">
        <v>108</v>
      </c>
      <c r="C21" s="17" t="s">
        <v>114</v>
      </c>
      <c r="D21" s="17" t="s">
        <v>110</v>
      </c>
      <c r="E21" s="17" t="s">
        <v>111</v>
      </c>
      <c r="F21" s="18"/>
      <c r="G21" s="17" t="s">
        <v>112</v>
      </c>
      <c r="H21" s="17" t="s">
        <v>115</v>
      </c>
    </row>
    <row r="22" ht="34.5" customHeight="1">
      <c r="A22" s="17"/>
      <c r="B22" s="17" t="s">
        <v>108</v>
      </c>
      <c r="C22" s="17" t="s">
        <v>116</v>
      </c>
      <c r="D22" s="17" t="s">
        <v>110</v>
      </c>
      <c r="E22" s="17" t="s">
        <v>111</v>
      </c>
      <c r="F22" s="18"/>
      <c r="G22" s="17" t="s">
        <v>112</v>
      </c>
      <c r="H22" s="17" t="s">
        <v>117</v>
      </c>
    </row>
    <row r="23" ht="34.5" customHeight="1">
      <c r="A23" s="17"/>
      <c r="B23" s="17" t="s">
        <v>108</v>
      </c>
      <c r="C23" s="17" t="s">
        <v>118</v>
      </c>
      <c r="D23" s="17" t="s">
        <v>110</v>
      </c>
      <c r="E23" s="17" t="s">
        <v>111</v>
      </c>
      <c r="F23" s="18"/>
      <c r="G23" s="17" t="s">
        <v>112</v>
      </c>
      <c r="H23" s="17" t="s">
        <v>119</v>
      </c>
    </row>
    <row r="24" ht="34.5" customHeight="1">
      <c r="A24" s="17"/>
      <c r="B24" s="17" t="s">
        <v>108</v>
      </c>
      <c r="C24" s="17" t="s">
        <v>120</v>
      </c>
      <c r="D24" s="17" t="s">
        <v>110</v>
      </c>
      <c r="E24" s="17" t="s">
        <v>111</v>
      </c>
      <c r="F24" s="18"/>
      <c r="G24" s="17" t="s">
        <v>112</v>
      </c>
      <c r="H24" s="17" t="s">
        <v>121</v>
      </c>
    </row>
    <row r="25" ht="48.0" customHeight="1">
      <c r="A25" s="31" t="s">
        <v>46</v>
      </c>
      <c r="B25" s="32" t="s">
        <v>122</v>
      </c>
      <c r="C25" s="32" t="s">
        <v>123</v>
      </c>
      <c r="D25" s="32" t="s">
        <v>124</v>
      </c>
      <c r="E25" s="32" t="s">
        <v>125</v>
      </c>
      <c r="F25" s="33"/>
      <c r="G25" s="32" t="s">
        <v>112</v>
      </c>
      <c r="H25" s="32" t="s">
        <v>126</v>
      </c>
    </row>
    <row r="26" ht="34.5" customHeight="1">
      <c r="A26" s="17"/>
      <c r="B26" s="17" t="s">
        <v>122</v>
      </c>
      <c r="C26" s="17" t="s">
        <v>127</v>
      </c>
      <c r="D26" s="17" t="s">
        <v>110</v>
      </c>
      <c r="E26" s="17" t="s">
        <v>125</v>
      </c>
      <c r="F26" s="18"/>
      <c r="G26" s="17" t="s">
        <v>112</v>
      </c>
      <c r="H26" s="17" t="s">
        <v>128</v>
      </c>
    </row>
    <row r="27" ht="34.5" customHeight="1">
      <c r="A27" s="17"/>
      <c r="B27" s="17" t="s">
        <v>122</v>
      </c>
      <c r="C27" s="17" t="s">
        <v>129</v>
      </c>
      <c r="D27" s="17" t="s">
        <v>110</v>
      </c>
      <c r="E27" s="17" t="s">
        <v>125</v>
      </c>
      <c r="F27" s="18"/>
      <c r="G27" s="17" t="s">
        <v>112</v>
      </c>
      <c r="H27" s="17" t="s">
        <v>130</v>
      </c>
    </row>
    <row r="28" ht="34.5" customHeight="1">
      <c r="A28" s="17"/>
      <c r="B28" s="17" t="s">
        <v>122</v>
      </c>
      <c r="C28" s="17" t="s">
        <v>131</v>
      </c>
      <c r="D28" s="17" t="s">
        <v>110</v>
      </c>
      <c r="E28" s="17" t="s">
        <v>125</v>
      </c>
      <c r="F28" s="18"/>
      <c r="G28" s="17" t="s">
        <v>112</v>
      </c>
      <c r="H28" s="17" t="s">
        <v>132</v>
      </c>
    </row>
    <row r="29" ht="34.5" customHeight="1">
      <c r="A29" s="17"/>
      <c r="B29" s="17" t="s">
        <v>122</v>
      </c>
      <c r="C29" s="17" t="s">
        <v>133</v>
      </c>
      <c r="D29" s="17" t="s">
        <v>110</v>
      </c>
      <c r="E29" s="17" t="s">
        <v>125</v>
      </c>
      <c r="F29" s="18"/>
      <c r="G29" s="17" t="s">
        <v>112</v>
      </c>
      <c r="H29" s="17" t="s">
        <v>134</v>
      </c>
    </row>
    <row r="30" ht="34.5" customHeight="1">
      <c r="A30" s="17"/>
      <c r="B30" s="17" t="s">
        <v>122</v>
      </c>
      <c r="C30" s="17" t="s">
        <v>135</v>
      </c>
      <c r="D30" s="17" t="s">
        <v>110</v>
      </c>
      <c r="E30" s="17" t="s">
        <v>125</v>
      </c>
      <c r="F30" s="18"/>
      <c r="G30" s="17" t="s">
        <v>112</v>
      </c>
      <c r="H30" s="17" t="s">
        <v>136</v>
      </c>
    </row>
    <row r="31" ht="34.5" customHeight="1">
      <c r="A31" s="17"/>
      <c r="B31" s="17" t="s">
        <v>122</v>
      </c>
      <c r="C31" s="17" t="s">
        <v>137</v>
      </c>
      <c r="D31" s="17" t="s">
        <v>110</v>
      </c>
      <c r="E31" s="17" t="s">
        <v>125</v>
      </c>
      <c r="F31" s="18"/>
      <c r="G31" s="17" t="s">
        <v>112</v>
      </c>
      <c r="H31" s="17" t="s">
        <v>138</v>
      </c>
    </row>
    <row r="32" ht="48.0" customHeight="1">
      <c r="A32" s="34" t="s">
        <v>48</v>
      </c>
      <c r="B32" s="35" t="s">
        <v>139</v>
      </c>
      <c r="C32" s="35" t="s">
        <v>140</v>
      </c>
      <c r="D32" s="35" t="s">
        <v>110</v>
      </c>
      <c r="E32" s="35" t="s">
        <v>141</v>
      </c>
      <c r="F32" s="36"/>
      <c r="G32" s="35" t="s">
        <v>112</v>
      </c>
      <c r="H32" s="35" t="s">
        <v>142</v>
      </c>
    </row>
    <row r="33" ht="34.5" customHeight="1">
      <c r="A33" s="17"/>
      <c r="B33" s="17" t="s">
        <v>139</v>
      </c>
      <c r="C33" s="17" t="s">
        <v>143</v>
      </c>
      <c r="D33" s="17" t="s">
        <v>110</v>
      </c>
      <c r="E33" s="17" t="s">
        <v>141</v>
      </c>
      <c r="F33" s="18"/>
      <c r="G33" s="17" t="s">
        <v>112</v>
      </c>
      <c r="H33" s="17" t="s">
        <v>144</v>
      </c>
    </row>
    <row r="34" ht="34.5" customHeight="1">
      <c r="A34" s="17"/>
      <c r="B34" s="17" t="s">
        <v>139</v>
      </c>
      <c r="C34" s="17" t="s">
        <v>145</v>
      </c>
      <c r="D34" s="17" t="s">
        <v>110</v>
      </c>
      <c r="E34" s="17" t="s">
        <v>141</v>
      </c>
      <c r="F34" s="18"/>
      <c r="G34" s="17" t="s">
        <v>112</v>
      </c>
      <c r="H34" s="17" t="s">
        <v>146</v>
      </c>
    </row>
    <row r="35" ht="34.5" customHeight="1">
      <c r="A35" s="17"/>
      <c r="B35" s="17" t="s">
        <v>139</v>
      </c>
      <c r="C35" s="17" t="s">
        <v>147</v>
      </c>
      <c r="D35" s="17" t="s">
        <v>110</v>
      </c>
      <c r="E35" s="17" t="s">
        <v>141</v>
      </c>
      <c r="F35" s="18"/>
      <c r="G35" s="17" t="s">
        <v>112</v>
      </c>
      <c r="H35" s="17" t="s">
        <v>148</v>
      </c>
    </row>
    <row r="36" ht="34.5" customHeight="1">
      <c r="A36" s="17"/>
      <c r="B36" s="17" t="s">
        <v>139</v>
      </c>
      <c r="C36" s="17" t="s">
        <v>149</v>
      </c>
      <c r="D36" s="17" t="s">
        <v>110</v>
      </c>
      <c r="E36" s="17" t="s">
        <v>141</v>
      </c>
      <c r="F36" s="18"/>
      <c r="G36" s="17" t="s">
        <v>112</v>
      </c>
      <c r="H36" s="17" t="s">
        <v>150</v>
      </c>
    </row>
    <row r="37" ht="34.5" customHeight="1">
      <c r="A37" s="17"/>
      <c r="B37" s="17" t="s">
        <v>139</v>
      </c>
      <c r="C37" s="17" t="s">
        <v>151</v>
      </c>
      <c r="D37" s="17" t="s">
        <v>110</v>
      </c>
      <c r="E37" s="17" t="s">
        <v>141</v>
      </c>
      <c r="F37" s="18"/>
      <c r="G37" s="17" t="s">
        <v>112</v>
      </c>
      <c r="H37" s="17" t="s">
        <v>152</v>
      </c>
    </row>
    <row r="38" ht="48.0" customHeight="1">
      <c r="A38" s="37" t="s">
        <v>51</v>
      </c>
      <c r="B38" s="38" t="s">
        <v>139</v>
      </c>
      <c r="C38" s="38" t="s">
        <v>153</v>
      </c>
      <c r="D38" s="38" t="s">
        <v>110</v>
      </c>
      <c r="E38" s="38" t="s">
        <v>141</v>
      </c>
      <c r="F38" s="39"/>
      <c r="G38" s="38" t="s">
        <v>112</v>
      </c>
      <c r="H38" s="38" t="s">
        <v>154</v>
      </c>
    </row>
    <row r="39" ht="34.5" customHeight="1">
      <c r="A39" s="17"/>
      <c r="B39" s="17" t="s">
        <v>139</v>
      </c>
      <c r="C39" s="17" t="s">
        <v>155</v>
      </c>
      <c r="D39" s="17" t="s">
        <v>110</v>
      </c>
      <c r="E39" s="17" t="s">
        <v>141</v>
      </c>
      <c r="F39" s="18"/>
      <c r="G39" s="17" t="s">
        <v>112</v>
      </c>
      <c r="H39" s="17" t="s">
        <v>156</v>
      </c>
    </row>
    <row r="40" ht="34.5" customHeight="1">
      <c r="A40" s="17"/>
      <c r="B40" s="17" t="s">
        <v>139</v>
      </c>
      <c r="C40" s="17" t="s">
        <v>157</v>
      </c>
      <c r="D40" s="17" t="s">
        <v>110</v>
      </c>
      <c r="E40" s="17" t="s">
        <v>141</v>
      </c>
      <c r="F40" s="18"/>
      <c r="G40" s="17" t="s">
        <v>112</v>
      </c>
      <c r="H40" s="17" t="s">
        <v>158</v>
      </c>
    </row>
    <row r="41" ht="34.5" customHeight="1">
      <c r="A41" s="17"/>
      <c r="B41" s="17" t="s">
        <v>139</v>
      </c>
      <c r="C41" s="17" t="s">
        <v>159</v>
      </c>
      <c r="D41" s="17" t="s">
        <v>110</v>
      </c>
      <c r="E41" s="17" t="s">
        <v>141</v>
      </c>
      <c r="F41" s="18"/>
      <c r="G41" s="17" t="s">
        <v>112</v>
      </c>
      <c r="H41" s="17" t="s">
        <v>160</v>
      </c>
    </row>
    <row r="42" ht="34.5" customHeight="1">
      <c r="A42" s="17"/>
      <c r="B42" s="17" t="s">
        <v>139</v>
      </c>
      <c r="C42" s="17" t="s">
        <v>161</v>
      </c>
      <c r="D42" s="17" t="s">
        <v>110</v>
      </c>
      <c r="E42" s="17" t="s">
        <v>141</v>
      </c>
      <c r="F42" s="18"/>
      <c r="G42" s="17" t="s">
        <v>112</v>
      </c>
      <c r="H42" s="17" t="s">
        <v>162</v>
      </c>
    </row>
    <row r="43" ht="48.0" customHeight="1">
      <c r="A43" s="40" t="s">
        <v>53</v>
      </c>
      <c r="B43" s="41" t="s">
        <v>23</v>
      </c>
      <c r="C43" s="41" t="s">
        <v>163</v>
      </c>
      <c r="D43" s="41" t="s">
        <v>110</v>
      </c>
      <c r="E43" s="41" t="s">
        <v>164</v>
      </c>
      <c r="F43" s="42"/>
      <c r="G43" s="41" t="s">
        <v>112</v>
      </c>
      <c r="H43" s="41" t="s">
        <v>165</v>
      </c>
    </row>
    <row r="44" ht="34.5" customHeight="1">
      <c r="A44" s="17"/>
      <c r="B44" s="17" t="s">
        <v>23</v>
      </c>
      <c r="C44" s="17" t="s">
        <v>166</v>
      </c>
      <c r="D44" s="17" t="s">
        <v>110</v>
      </c>
      <c r="E44" s="17" t="s">
        <v>164</v>
      </c>
      <c r="F44" s="18"/>
      <c r="G44" s="17" t="s">
        <v>112</v>
      </c>
      <c r="H44" s="17" t="s">
        <v>167</v>
      </c>
    </row>
    <row r="45" ht="34.5" customHeight="1">
      <c r="A45" s="17"/>
      <c r="B45" s="17" t="s">
        <v>23</v>
      </c>
      <c r="C45" s="17" t="s">
        <v>168</v>
      </c>
      <c r="D45" s="17" t="s">
        <v>110</v>
      </c>
      <c r="E45" s="17" t="s">
        <v>164</v>
      </c>
      <c r="F45" s="18"/>
      <c r="G45" s="17" t="s">
        <v>112</v>
      </c>
      <c r="H45" s="17" t="s">
        <v>169</v>
      </c>
    </row>
    <row r="46" ht="34.5" customHeight="1">
      <c r="A46" s="17"/>
      <c r="B46" s="17" t="s">
        <v>23</v>
      </c>
      <c r="C46" s="17" t="s">
        <v>170</v>
      </c>
      <c r="D46" s="17" t="s">
        <v>110</v>
      </c>
      <c r="E46" s="17" t="s">
        <v>164</v>
      </c>
      <c r="F46" s="18"/>
      <c r="G46" s="17" t="s">
        <v>112</v>
      </c>
      <c r="H46" s="17" t="s">
        <v>171</v>
      </c>
    </row>
    <row r="47" ht="34.5" customHeight="1">
      <c r="A47" s="17"/>
      <c r="B47" s="17" t="s">
        <v>23</v>
      </c>
      <c r="C47" s="17" t="s">
        <v>172</v>
      </c>
      <c r="D47" s="17" t="s">
        <v>110</v>
      </c>
      <c r="E47" s="17" t="s">
        <v>164</v>
      </c>
      <c r="F47" s="18"/>
      <c r="G47" s="17" t="s">
        <v>112</v>
      </c>
      <c r="H47" s="17" t="s">
        <v>173</v>
      </c>
    </row>
    <row r="48" ht="48.0" customHeight="1">
      <c r="A48" s="43" t="s">
        <v>55</v>
      </c>
      <c r="B48" s="44" t="s">
        <v>23</v>
      </c>
      <c r="C48" s="44" t="s">
        <v>174</v>
      </c>
      <c r="D48" s="44" t="s">
        <v>110</v>
      </c>
      <c r="E48" s="44" t="s">
        <v>164</v>
      </c>
      <c r="F48" s="45"/>
      <c r="G48" s="44" t="s">
        <v>112</v>
      </c>
      <c r="H48" s="44" t="s">
        <v>175</v>
      </c>
    </row>
    <row r="49" ht="34.5" customHeight="1">
      <c r="A49" s="17"/>
      <c r="B49" s="17" t="s">
        <v>23</v>
      </c>
      <c r="C49" s="17" t="s">
        <v>176</v>
      </c>
      <c r="D49" s="17" t="s">
        <v>110</v>
      </c>
      <c r="E49" s="17" t="s">
        <v>164</v>
      </c>
      <c r="F49" s="18"/>
      <c r="G49" s="17" t="s">
        <v>112</v>
      </c>
      <c r="H49" s="17" t="s">
        <v>177</v>
      </c>
    </row>
    <row r="50" ht="34.5" customHeight="1">
      <c r="A50" s="17"/>
      <c r="B50" s="17" t="s">
        <v>23</v>
      </c>
      <c r="C50" s="17" t="s">
        <v>178</v>
      </c>
      <c r="D50" s="17" t="s">
        <v>110</v>
      </c>
      <c r="E50" s="17" t="s">
        <v>164</v>
      </c>
      <c r="F50" s="18"/>
      <c r="G50" s="17" t="s">
        <v>112</v>
      </c>
      <c r="H50" s="17" t="s">
        <v>179</v>
      </c>
    </row>
    <row r="51" ht="34.5" customHeight="1">
      <c r="A51" s="17"/>
      <c r="B51" s="17" t="s">
        <v>23</v>
      </c>
      <c r="C51" s="17" t="s">
        <v>180</v>
      </c>
      <c r="D51" s="17" t="s">
        <v>110</v>
      </c>
      <c r="E51" s="17" t="s">
        <v>164</v>
      </c>
      <c r="F51" s="18"/>
      <c r="G51" s="17" t="s">
        <v>112</v>
      </c>
      <c r="H51" s="17" t="s">
        <v>181</v>
      </c>
    </row>
    <row r="52" ht="34.5" customHeight="1">
      <c r="A52" s="17"/>
      <c r="B52" s="17" t="s">
        <v>23</v>
      </c>
      <c r="C52" s="17" t="s">
        <v>182</v>
      </c>
      <c r="D52" s="17" t="s">
        <v>110</v>
      </c>
      <c r="E52" s="17" t="s">
        <v>164</v>
      </c>
      <c r="F52" s="18"/>
      <c r="G52" s="17" t="s">
        <v>112</v>
      </c>
      <c r="H52" s="17" t="s">
        <v>183</v>
      </c>
    </row>
    <row r="53" ht="48.0" customHeight="1">
      <c r="A53" s="13" t="s">
        <v>58</v>
      </c>
      <c r="B53" s="14" t="s">
        <v>24</v>
      </c>
      <c r="C53" s="14" t="s">
        <v>184</v>
      </c>
      <c r="D53" s="14" t="s">
        <v>45</v>
      </c>
      <c r="E53" s="14" t="s">
        <v>185</v>
      </c>
      <c r="F53" s="46"/>
      <c r="G53" s="14" t="s">
        <v>112</v>
      </c>
      <c r="H53" s="14" t="s">
        <v>186</v>
      </c>
    </row>
    <row r="54" ht="34.5" customHeight="1">
      <c r="A54" s="17"/>
      <c r="B54" s="17" t="s">
        <v>24</v>
      </c>
      <c r="C54" s="17" t="s">
        <v>187</v>
      </c>
      <c r="D54" s="17" t="s">
        <v>45</v>
      </c>
      <c r="E54" s="17" t="s">
        <v>185</v>
      </c>
      <c r="F54" s="18"/>
      <c r="G54" s="17" t="s">
        <v>112</v>
      </c>
      <c r="H54" s="17" t="s">
        <v>188</v>
      </c>
    </row>
    <row r="55" ht="34.5" customHeight="1">
      <c r="A55" s="17"/>
      <c r="B55" s="17" t="s">
        <v>24</v>
      </c>
      <c r="C55" s="17" t="s">
        <v>189</v>
      </c>
      <c r="D55" s="17" t="s">
        <v>45</v>
      </c>
      <c r="E55" s="17" t="s">
        <v>185</v>
      </c>
      <c r="F55" s="18"/>
      <c r="G55" s="17" t="s">
        <v>112</v>
      </c>
      <c r="H55" s="17" t="s">
        <v>190</v>
      </c>
    </row>
    <row r="56" ht="34.5" customHeight="1">
      <c r="A56" s="17"/>
      <c r="B56" s="17" t="s">
        <v>24</v>
      </c>
      <c r="C56" s="17" t="s">
        <v>191</v>
      </c>
      <c r="D56" s="17" t="s">
        <v>45</v>
      </c>
      <c r="E56" s="17" t="s">
        <v>185</v>
      </c>
      <c r="F56" s="18"/>
      <c r="G56" s="17" t="s">
        <v>112</v>
      </c>
      <c r="H56" s="17" t="s">
        <v>192</v>
      </c>
    </row>
    <row r="57" ht="34.5" customHeight="1">
      <c r="A57" s="17"/>
      <c r="B57" s="17" t="s">
        <v>24</v>
      </c>
      <c r="C57" s="17" t="s">
        <v>193</v>
      </c>
      <c r="D57" s="17" t="s">
        <v>45</v>
      </c>
      <c r="E57" s="17" t="s">
        <v>185</v>
      </c>
      <c r="F57" s="18"/>
      <c r="G57" s="17" t="s">
        <v>112</v>
      </c>
      <c r="H57" s="17" t="s">
        <v>194</v>
      </c>
    </row>
    <row r="58" ht="48.0" customHeight="1">
      <c r="A58" s="40" t="s">
        <v>62</v>
      </c>
      <c r="B58" s="41" t="s">
        <v>195</v>
      </c>
      <c r="C58" s="41" t="s">
        <v>196</v>
      </c>
      <c r="D58" s="41" t="s">
        <v>124</v>
      </c>
      <c r="E58" s="41" t="s">
        <v>197</v>
      </c>
      <c r="F58" s="42"/>
      <c r="G58" s="41" t="s">
        <v>112</v>
      </c>
      <c r="H58" s="41" t="s">
        <v>198</v>
      </c>
    </row>
    <row r="59" ht="34.5" customHeight="1">
      <c r="A59" s="17"/>
      <c r="B59" s="17" t="s">
        <v>195</v>
      </c>
      <c r="C59" s="17" t="s">
        <v>199</v>
      </c>
      <c r="D59" s="17" t="s">
        <v>110</v>
      </c>
      <c r="E59" s="17" t="s">
        <v>197</v>
      </c>
      <c r="F59" s="18"/>
      <c r="G59" s="17" t="s">
        <v>112</v>
      </c>
      <c r="H59" s="17" t="s">
        <v>200</v>
      </c>
    </row>
    <row r="60" ht="34.5" customHeight="1">
      <c r="A60" s="17"/>
      <c r="B60" s="17" t="s">
        <v>195</v>
      </c>
      <c r="C60" s="17" t="s">
        <v>201</v>
      </c>
      <c r="D60" s="17" t="s">
        <v>110</v>
      </c>
      <c r="E60" s="17" t="s">
        <v>197</v>
      </c>
      <c r="F60" s="18"/>
      <c r="G60" s="17" t="s">
        <v>112</v>
      </c>
      <c r="H60" s="17" t="s">
        <v>202</v>
      </c>
    </row>
    <row r="61" ht="34.5" customHeight="1">
      <c r="A61" s="17"/>
      <c r="B61" s="17" t="s">
        <v>195</v>
      </c>
      <c r="C61" s="17" t="s">
        <v>203</v>
      </c>
      <c r="D61" s="17" t="s">
        <v>110</v>
      </c>
      <c r="E61" s="17" t="s">
        <v>197</v>
      </c>
      <c r="F61" s="18"/>
      <c r="G61" s="17" t="s">
        <v>112</v>
      </c>
      <c r="H61" s="17" t="s">
        <v>204</v>
      </c>
    </row>
    <row r="62" ht="34.5" customHeight="1">
      <c r="A62" s="17"/>
      <c r="B62" s="17" t="s">
        <v>195</v>
      </c>
      <c r="C62" s="17" t="s">
        <v>205</v>
      </c>
      <c r="D62" s="17" t="s">
        <v>110</v>
      </c>
      <c r="E62" s="17" t="s">
        <v>197</v>
      </c>
      <c r="F62" s="18"/>
      <c r="G62" s="17" t="s">
        <v>112</v>
      </c>
      <c r="H62" s="17" t="s">
        <v>206</v>
      </c>
    </row>
    <row r="63" ht="34.5" customHeight="1">
      <c r="A63" s="17"/>
      <c r="B63" s="17" t="s">
        <v>195</v>
      </c>
      <c r="C63" s="17" t="s">
        <v>207</v>
      </c>
      <c r="D63" s="17" t="s">
        <v>110</v>
      </c>
      <c r="E63" s="17" t="s">
        <v>197</v>
      </c>
      <c r="F63" s="18"/>
      <c r="G63" s="17" t="s">
        <v>112</v>
      </c>
      <c r="H63" s="17" t="s">
        <v>208</v>
      </c>
    </row>
    <row r="64" ht="48.0" customHeight="1">
      <c r="A64" s="47" t="s">
        <v>65</v>
      </c>
      <c r="B64" s="48" t="s">
        <v>26</v>
      </c>
      <c r="C64" s="48" t="s">
        <v>209</v>
      </c>
      <c r="D64" s="48" t="s">
        <v>110</v>
      </c>
      <c r="E64" s="48" t="s">
        <v>210</v>
      </c>
      <c r="F64" s="49"/>
      <c r="G64" s="48" t="s">
        <v>112</v>
      </c>
      <c r="H64" s="48" t="s">
        <v>211</v>
      </c>
    </row>
    <row r="65" ht="34.5" customHeight="1">
      <c r="A65" s="17"/>
      <c r="B65" s="17" t="s">
        <v>26</v>
      </c>
      <c r="C65" s="17" t="s">
        <v>212</v>
      </c>
      <c r="D65" s="17" t="s">
        <v>110</v>
      </c>
      <c r="E65" s="17" t="s">
        <v>210</v>
      </c>
      <c r="F65" s="18"/>
      <c r="G65" s="17" t="s">
        <v>112</v>
      </c>
      <c r="H65" s="17" t="s">
        <v>213</v>
      </c>
    </row>
    <row r="66" ht="34.5" customHeight="1">
      <c r="A66" s="17"/>
      <c r="B66" s="17" t="s">
        <v>26</v>
      </c>
      <c r="C66" s="17" t="s">
        <v>214</v>
      </c>
      <c r="D66" s="17" t="s">
        <v>110</v>
      </c>
      <c r="E66" s="17" t="s">
        <v>210</v>
      </c>
      <c r="F66" s="18"/>
      <c r="G66" s="17" t="s">
        <v>112</v>
      </c>
      <c r="H66" s="17" t="s">
        <v>215</v>
      </c>
    </row>
    <row r="67" ht="34.5" customHeight="1">
      <c r="A67" s="17"/>
      <c r="B67" s="17" t="s">
        <v>26</v>
      </c>
      <c r="C67" s="17" t="s">
        <v>216</v>
      </c>
      <c r="D67" s="17" t="s">
        <v>110</v>
      </c>
      <c r="E67" s="17" t="s">
        <v>210</v>
      </c>
      <c r="F67" s="18"/>
      <c r="G67" s="17" t="s">
        <v>112</v>
      </c>
      <c r="H67" s="17" t="s">
        <v>217</v>
      </c>
    </row>
    <row r="68" ht="48.0" customHeight="1">
      <c r="A68" s="50" t="s">
        <v>67</v>
      </c>
      <c r="B68" s="51" t="s">
        <v>27</v>
      </c>
      <c r="C68" s="51" t="s">
        <v>218</v>
      </c>
      <c r="D68" s="51" t="s">
        <v>45</v>
      </c>
      <c r="E68" s="51" t="s">
        <v>219</v>
      </c>
      <c r="F68" s="52"/>
      <c r="G68" s="51" t="s">
        <v>112</v>
      </c>
      <c r="H68" s="51" t="s">
        <v>220</v>
      </c>
    </row>
    <row r="69" ht="34.5" customHeight="1">
      <c r="A69" s="17"/>
      <c r="B69" s="17" t="s">
        <v>27</v>
      </c>
      <c r="C69" s="17" t="s">
        <v>221</v>
      </c>
      <c r="D69" s="17" t="s">
        <v>45</v>
      </c>
      <c r="E69" s="17" t="s">
        <v>219</v>
      </c>
      <c r="F69" s="18"/>
      <c r="G69" s="17" t="s">
        <v>112</v>
      </c>
      <c r="H69" s="17" t="s">
        <v>222</v>
      </c>
    </row>
    <row r="70" ht="34.5" customHeight="1">
      <c r="A70" s="17"/>
      <c r="B70" s="17" t="s">
        <v>27</v>
      </c>
      <c r="C70" s="17" t="s">
        <v>223</v>
      </c>
      <c r="D70" s="17" t="s">
        <v>45</v>
      </c>
      <c r="E70" s="17" t="s">
        <v>219</v>
      </c>
      <c r="F70" s="18"/>
      <c r="G70" s="17" t="s">
        <v>112</v>
      </c>
      <c r="H70" s="17" t="s">
        <v>224</v>
      </c>
    </row>
    <row r="71" ht="34.5" customHeight="1">
      <c r="A71" s="17"/>
      <c r="B71" s="17" t="s">
        <v>27</v>
      </c>
      <c r="C71" s="17" t="s">
        <v>225</v>
      </c>
      <c r="D71" s="17" t="s">
        <v>45</v>
      </c>
      <c r="E71" s="17" t="s">
        <v>219</v>
      </c>
      <c r="F71" s="18"/>
      <c r="G71" s="17" t="s">
        <v>112</v>
      </c>
      <c r="H71" s="17" t="s">
        <v>226</v>
      </c>
    </row>
    <row r="72" ht="34.5" customHeight="1">
      <c r="A72" s="17"/>
      <c r="B72" s="17" t="s">
        <v>27</v>
      </c>
      <c r="C72" s="17" t="s">
        <v>227</v>
      </c>
      <c r="D72" s="17" t="s">
        <v>45</v>
      </c>
      <c r="E72" s="17" t="s">
        <v>219</v>
      </c>
      <c r="F72" s="18"/>
      <c r="G72" s="17" t="s">
        <v>112</v>
      </c>
      <c r="H72" s="17" t="s">
        <v>228</v>
      </c>
    </row>
    <row r="73" ht="34.5" customHeight="1">
      <c r="A73" s="17"/>
      <c r="B73" s="17" t="s">
        <v>27</v>
      </c>
      <c r="C73" s="17" t="s">
        <v>229</v>
      </c>
      <c r="D73" s="17" t="s">
        <v>45</v>
      </c>
      <c r="E73" s="17" t="s">
        <v>219</v>
      </c>
      <c r="F73" s="18"/>
      <c r="G73" s="17" t="s">
        <v>112</v>
      </c>
      <c r="H73" s="17" t="s">
        <v>230</v>
      </c>
    </row>
    <row r="74" ht="48.0" customHeight="1">
      <c r="A74" s="50" t="s">
        <v>71</v>
      </c>
      <c r="B74" s="51" t="s">
        <v>28</v>
      </c>
      <c r="C74" s="51" t="s">
        <v>231</v>
      </c>
      <c r="D74" s="51" t="s">
        <v>45</v>
      </c>
      <c r="E74" s="51" t="s">
        <v>232</v>
      </c>
      <c r="F74" s="52"/>
      <c r="G74" s="51" t="s">
        <v>112</v>
      </c>
      <c r="H74" s="51" t="s">
        <v>233</v>
      </c>
    </row>
    <row r="75" ht="34.5" customHeight="1">
      <c r="A75" s="17"/>
      <c r="B75" s="17" t="s">
        <v>28</v>
      </c>
      <c r="C75" s="17" t="s">
        <v>234</v>
      </c>
      <c r="D75" s="17" t="s">
        <v>45</v>
      </c>
      <c r="E75" s="17" t="s">
        <v>232</v>
      </c>
      <c r="F75" s="18"/>
      <c r="G75" s="17" t="s">
        <v>112</v>
      </c>
      <c r="H75" s="17" t="s">
        <v>235</v>
      </c>
    </row>
    <row r="76" ht="34.5" customHeight="1">
      <c r="A76" s="17"/>
      <c r="B76" s="17" t="s">
        <v>28</v>
      </c>
      <c r="C76" s="17" t="s">
        <v>236</v>
      </c>
      <c r="D76" s="17" t="s">
        <v>45</v>
      </c>
      <c r="E76" s="17" t="s">
        <v>232</v>
      </c>
      <c r="F76" s="18"/>
      <c r="G76" s="17" t="s">
        <v>112</v>
      </c>
      <c r="H76" s="17" t="s">
        <v>237</v>
      </c>
    </row>
    <row r="77" ht="34.5" customHeight="1">
      <c r="A77" s="17"/>
      <c r="B77" s="17" t="s">
        <v>28</v>
      </c>
      <c r="C77" s="17" t="s">
        <v>238</v>
      </c>
      <c r="D77" s="17" t="s">
        <v>45</v>
      </c>
      <c r="E77" s="17" t="s">
        <v>232</v>
      </c>
      <c r="F77" s="18"/>
      <c r="G77" s="17" t="s">
        <v>112</v>
      </c>
      <c r="H77" s="17" t="s">
        <v>239</v>
      </c>
    </row>
    <row r="78" ht="48.0" customHeight="1">
      <c r="A78" s="53" t="s">
        <v>75</v>
      </c>
      <c r="B78" s="54" t="s">
        <v>240</v>
      </c>
      <c r="C78" s="54" t="s">
        <v>241</v>
      </c>
      <c r="D78" s="54" t="s">
        <v>45</v>
      </c>
      <c r="E78" s="54" t="s">
        <v>242</v>
      </c>
      <c r="F78" s="55"/>
      <c r="G78" s="54" t="s">
        <v>112</v>
      </c>
      <c r="H78" s="54" t="s">
        <v>243</v>
      </c>
    </row>
    <row r="79" ht="34.5" customHeight="1">
      <c r="A79" s="17"/>
      <c r="B79" s="17" t="s">
        <v>240</v>
      </c>
      <c r="C79" s="17" t="s">
        <v>244</v>
      </c>
      <c r="D79" s="17" t="s">
        <v>45</v>
      </c>
      <c r="E79" s="17" t="s">
        <v>242</v>
      </c>
      <c r="F79" s="18"/>
      <c r="G79" s="17" t="s">
        <v>112</v>
      </c>
      <c r="H79" s="17" t="s">
        <v>245</v>
      </c>
    </row>
    <row r="80" ht="34.5" customHeight="1">
      <c r="A80" s="17"/>
      <c r="B80" s="17" t="s">
        <v>240</v>
      </c>
      <c r="C80" s="17" t="s">
        <v>246</v>
      </c>
      <c r="D80" s="17" t="s">
        <v>45</v>
      </c>
      <c r="E80" s="17" t="s">
        <v>242</v>
      </c>
      <c r="F80" s="18"/>
      <c r="G80" s="17" t="s">
        <v>112</v>
      </c>
      <c r="H80" s="17" t="s">
        <v>247</v>
      </c>
    </row>
    <row r="81" ht="34.5" customHeight="1">
      <c r="A81" s="17"/>
      <c r="B81" s="17" t="s">
        <v>240</v>
      </c>
      <c r="C81" s="17" t="s">
        <v>248</v>
      </c>
      <c r="D81" s="17" t="s">
        <v>45</v>
      </c>
      <c r="E81" s="17" t="s">
        <v>242</v>
      </c>
      <c r="F81" s="18"/>
      <c r="G81" s="17" t="s">
        <v>112</v>
      </c>
      <c r="H81" s="17" t="s">
        <v>249</v>
      </c>
    </row>
    <row r="82" ht="34.5" customHeight="1">
      <c r="A82" s="17"/>
      <c r="B82" s="17" t="s">
        <v>240</v>
      </c>
      <c r="C82" s="17" t="s">
        <v>250</v>
      </c>
      <c r="D82" s="17" t="s">
        <v>45</v>
      </c>
      <c r="E82" s="17" t="s">
        <v>242</v>
      </c>
      <c r="F82" s="18"/>
      <c r="G82" s="17" t="s">
        <v>112</v>
      </c>
      <c r="H82" s="17" t="s">
        <v>251</v>
      </c>
    </row>
    <row r="83" ht="48.0" customHeight="1">
      <c r="A83" s="56" t="s">
        <v>77</v>
      </c>
      <c r="B83" s="57" t="s">
        <v>28</v>
      </c>
      <c r="C83" s="57" t="s">
        <v>252</v>
      </c>
      <c r="D83" s="57" t="s">
        <v>45</v>
      </c>
      <c r="E83" s="57" t="s">
        <v>232</v>
      </c>
      <c r="F83" s="58"/>
      <c r="G83" s="57" t="s">
        <v>112</v>
      </c>
      <c r="H83" s="57" t="s">
        <v>253</v>
      </c>
    </row>
    <row r="84" ht="34.5" customHeight="1">
      <c r="A84" s="17"/>
      <c r="B84" s="17" t="s">
        <v>28</v>
      </c>
      <c r="C84" s="17" t="s">
        <v>254</v>
      </c>
      <c r="D84" s="17" t="s">
        <v>45</v>
      </c>
      <c r="E84" s="17" t="s">
        <v>232</v>
      </c>
      <c r="F84" s="18"/>
      <c r="G84" s="17" t="s">
        <v>112</v>
      </c>
      <c r="H84" s="17" t="s">
        <v>255</v>
      </c>
    </row>
    <row r="85" ht="34.5" customHeight="1">
      <c r="A85" s="17"/>
      <c r="B85" s="17" t="s">
        <v>28</v>
      </c>
      <c r="C85" s="17" t="s">
        <v>256</v>
      </c>
      <c r="D85" s="17" t="s">
        <v>45</v>
      </c>
      <c r="E85" s="17" t="s">
        <v>232</v>
      </c>
      <c r="F85" s="18"/>
      <c r="G85" s="17" t="s">
        <v>112</v>
      </c>
      <c r="H85" s="17" t="s">
        <v>257</v>
      </c>
    </row>
    <row r="86" ht="34.5" customHeight="1">
      <c r="A86" s="17"/>
      <c r="B86" s="17" t="s">
        <v>28</v>
      </c>
      <c r="C86" s="17" t="s">
        <v>258</v>
      </c>
      <c r="D86" s="17" t="s">
        <v>45</v>
      </c>
      <c r="E86" s="17" t="s">
        <v>232</v>
      </c>
      <c r="F86" s="18"/>
      <c r="G86" s="17" t="s">
        <v>112</v>
      </c>
      <c r="H86" s="17" t="s">
        <v>259</v>
      </c>
    </row>
    <row r="87" ht="48.0" customHeight="1">
      <c r="A87" s="56" t="s">
        <v>82</v>
      </c>
      <c r="B87" s="57" t="s">
        <v>29</v>
      </c>
      <c r="C87" s="57" t="s">
        <v>260</v>
      </c>
      <c r="D87" s="57" t="s">
        <v>45</v>
      </c>
      <c r="E87" s="57" t="s">
        <v>261</v>
      </c>
      <c r="F87" s="58"/>
      <c r="G87" s="57" t="s">
        <v>112</v>
      </c>
      <c r="H87" s="57" t="s">
        <v>262</v>
      </c>
    </row>
    <row r="88" ht="34.5" customHeight="1">
      <c r="A88" s="17"/>
      <c r="B88" s="17" t="s">
        <v>29</v>
      </c>
      <c r="C88" s="17" t="s">
        <v>263</v>
      </c>
      <c r="D88" s="17" t="s">
        <v>45</v>
      </c>
      <c r="E88" s="17" t="s">
        <v>261</v>
      </c>
      <c r="F88" s="18"/>
      <c r="G88" s="17" t="s">
        <v>112</v>
      </c>
      <c r="H88" s="17" t="s">
        <v>264</v>
      </c>
    </row>
    <row r="89" ht="34.5" customHeight="1">
      <c r="A89" s="17"/>
      <c r="B89" s="17" t="s">
        <v>29</v>
      </c>
      <c r="C89" s="17" t="s">
        <v>265</v>
      </c>
      <c r="D89" s="17" t="s">
        <v>45</v>
      </c>
      <c r="E89" s="17" t="s">
        <v>261</v>
      </c>
      <c r="F89" s="18"/>
      <c r="G89" s="17" t="s">
        <v>112</v>
      </c>
      <c r="H89" s="17" t="s">
        <v>266</v>
      </c>
    </row>
    <row r="90" ht="34.5" customHeight="1">
      <c r="A90" s="17"/>
      <c r="B90" s="17" t="s">
        <v>29</v>
      </c>
      <c r="C90" s="17" t="s">
        <v>267</v>
      </c>
      <c r="D90" s="17" t="s">
        <v>45</v>
      </c>
      <c r="E90" s="17" t="s">
        <v>261</v>
      </c>
      <c r="F90" s="18"/>
      <c r="G90" s="17" t="s">
        <v>112</v>
      </c>
      <c r="H90" s="17" t="s">
        <v>268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</sheetData>
  <mergeCells count="2">
    <mergeCell ref="A1:H1"/>
    <mergeCell ref="A2:H2"/>
  </mergeCells>
  <dataValidations>
    <dataValidation type="list" allowBlank="1" sqref="G6:G90">
      <formula1>"Pendiente,En progreso,Por verificar,Completada,Atrasada"</formula1>
    </dataValidation>
  </dataValidations>
  <printOptions/>
  <pageMargins bottom="0.75" footer="0.0" header="0.0" left="0.7" right="0.7" top="0.75"/>
  <pageSetup orientation="landscape"/>
  <drawing r:id="rId1"/>
</worksheet>
</file>